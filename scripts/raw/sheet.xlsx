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Rute Mentah" sheetId="1" r:id="rId5"/>
    <sheet state="visible" name="normalisasi" sheetId="2" r:id="rId6"/>
    <sheet state="visible" name="Sheet13" sheetId="3" r:id="rId7"/>
    <sheet state="visible" name="Sheet12" sheetId="4" r:id="rId8"/>
    <sheet state="visible" name="Rute Mentah" sheetId="5" r:id="rId9"/>
    <sheet state="visible" name="Rute Tabel" sheetId="6" r:id="rId10"/>
    <sheet state="visible" name="Sheet10" sheetId="7" r:id="rId11"/>
    <sheet state="visible" name="Harga Rute Total" sheetId="8" r:id="rId12"/>
    <sheet state="visible" name="Timing Rute (blm jadi)" sheetId="9" r:id="rId13"/>
    <sheet state="visible" name="Harga Mentah" sheetId="10" r:id="rId14"/>
    <sheet state="visible" name="Sheet3" sheetId="11" r:id="rId15"/>
    <sheet state="visible" name="Sheet2" sheetId="12" r:id="rId16"/>
    <sheet state="visible" name="Sheet9" sheetId="13" r:id="rId17"/>
  </sheets>
  <definedNames/>
  <calcPr/>
</workbook>
</file>

<file path=xl/sharedStrings.xml><?xml version="1.0" encoding="utf-8"?>
<sst xmlns="http://schemas.openxmlformats.org/spreadsheetml/2006/main" count="13262" uniqueCount="432">
  <si>
    <t>route_id</t>
  </si>
  <si>
    <t>ID</t>
  </si>
  <si>
    <t>Route ID</t>
  </si>
  <si>
    <t>Rute Lengkap</t>
  </si>
  <si>
    <t>Total Fare (Rp)</t>
  </si>
  <si>
    <t>Total Time (min)</t>
  </si>
  <si>
    <t>Normalize fare</t>
  </si>
  <si>
    <t>Rute-1</t>
  </si>
  <si>
    <t>Start: UI --[Jalan Kaki]--&gt; Universitas Indonesia Train Station --[Bogor Line]--&gt; Cawang --[Jalan Kaki (Integrasi)]--&gt; Cikoko --[Cibubur Line]--&gt; Kuningan --[13E]--&gt; CSW --[Jalan Kaki (Integrasi)]--&gt; Kejaksaan Agung --[1]--&gt; Blok M --[Jalan Kaki (Selesai)]--&gt; End: Blok M</t>
  </si>
  <si>
    <t>total_time_min</t>
  </si>
  <si>
    <t>total_time_hr</t>
  </si>
  <si>
    <t>Normalize Time</t>
  </si>
  <si>
    <t>origin</t>
  </si>
  <si>
    <t>destination</t>
  </si>
  <si>
    <t>mode</t>
  </si>
  <si>
    <t>ttype</t>
  </si>
  <si>
    <t>Rute-2</t>
  </si>
  <si>
    <t>time_min</t>
  </si>
  <si>
    <t>Start: UI --[TJ 4B]--&gt; Manggarai --[Cikarang Line]--&gt; Sudirman --[Jalan Kaki (Integrasi)]--&gt; Dukuh Atas BNI --[Bundaran HI - Lebak Bulus]--&gt; Blok M BCA --[Jalan Kaki (Selesai)]--&gt; End: Blok M</t>
  </si>
  <si>
    <t>note</t>
  </si>
  <si>
    <t>total_fare</t>
  </si>
  <si>
    <t>dist_m</t>
  </si>
  <si>
    <t>fare</t>
  </si>
  <si>
    <t>Rute-4</t>
  </si>
  <si>
    <t>Start: UI --[TJ 4B]--&gt; Manggarai --[Cikarang Line]--&gt; Sudirman --[Jalan Kaki (Integrasi)]--&gt; Dukuh Atas --[1]--&gt; Blok M --[Jalan Kaki (Selesai)]--&gt; End: Blok M</t>
  </si>
  <si>
    <t>UI</t>
  </si>
  <si>
    <t>Universitas Indonesia Train Station</t>
  </si>
  <si>
    <t>Jalan Kaki</t>
  </si>
  <si>
    <t>Rute-6</t>
  </si>
  <si>
    <t>walk</t>
  </si>
  <si>
    <t>Start: UI --[TJ 4B]--&gt; Manggarai --[4]--&gt; Galunggung --[Jalan Kaki (Integrasi)]--&gt; Dukuh Atas --[1]--&gt; Blok M --[Jalan Kaki (Selesai)]--&gt; End: Blok M</t>
  </si>
  <si>
    <t>Rute-7</t>
  </si>
  <si>
    <t>Start: UI --[TJ D21]--&gt; St. MRT Fatmawati --[Jalan Kaki (Integrasi)]--&gt; Fatmawati Indomaret --[Lebak Bulus - Bundaran HI]--&gt; Blok M BCA --[Jalan Kaki (Selesai)]--&gt; End: Blok M</t>
  </si>
  <si>
    <t>walk (no cache)</t>
  </si>
  <si>
    <t>Rute-8</t>
  </si>
  <si>
    <t>Start: UI --[Jalan Kaki]--&gt; Universitas Indonesia Train Station --[Bogor Line]--&gt; Cikini Station --[Jalan Kaki (Integrasi)]--&gt; SMPN 8 --[4C]--&gt; Bundaran Senayan 1 --[1P]--&gt; Blok M Jalur 2 --[Jalan Kaki (Selesai)]--&gt; End: Blok M</t>
  </si>
  <si>
    <t>Cawang</t>
  </si>
  <si>
    <t>Bogor Line</t>
  </si>
  <si>
    <t>krl</t>
  </si>
  <si>
    <t>Cikoko</t>
  </si>
  <si>
    <t>Jalan Kaki (Integrasi)</t>
  </si>
  <si>
    <t>Rute-11</t>
  </si>
  <si>
    <t>Start: UI --[Jalan Kaki]--&gt; Universitas Indonesia Train Station --[Bogor Line]--&gt; Manggarai --[Cikarang Line]--&gt; Sudirman --[Jalan Kaki (Integrasi)]--&gt; Dukuh Atas BNI --[Bundaran HI - Lebak Bulus]--&gt; Blok M BCA --[Jalan Kaki (Selesai)]--&gt; End: Blok M</t>
  </si>
  <si>
    <t>Kuningan</t>
  </si>
  <si>
    <t>Cibubur Line</t>
  </si>
  <si>
    <t>lrt</t>
  </si>
  <si>
    <t>CSW</t>
  </si>
  <si>
    <t>13E</t>
  </si>
  <si>
    <t>Rute-13</t>
  </si>
  <si>
    <t>transjakarta</t>
  </si>
  <si>
    <t>Start: UI --[Jalan Kaki]--&gt; Universitas Indonesia Train Station --[Bogor Line]--&gt; Manggarai --[Cikarang Line]--&gt; Sudirman --[Jalan Kaki (Integrasi)]--&gt; Dukuh Atas --[1]--&gt; Blok M --[Jalan Kaki (Selesai)]--&gt; End: Blok M</t>
  </si>
  <si>
    <t>tap-in</t>
  </si>
  <si>
    <t>Kejaksaan Agung</t>
  </si>
  <si>
    <t>Blok M</t>
  </si>
  <si>
    <t>Rute-15</t>
  </si>
  <si>
    <t>Start: UI --[Jalan Kaki]--&gt; Universitas Indonesia Train Station --[Bogor Line]--&gt; Manggarai --[4]--&gt; Galunggung --[Jalan Kaki (Integrasi)]--&gt; Dukuh Atas --[1]--&gt; Blok M --[Jalan Kaki (Selesai)]--&gt; End: Blok M</t>
  </si>
  <si>
    <t>free transfer</t>
  </si>
  <si>
    <t>Jalan Kaki (Selesai)</t>
  </si>
  <si>
    <t>Rute-16</t>
  </si>
  <si>
    <t>Start: UI --[Jalan Kaki]--&gt; Universitas Indonesia Train Station --[Bogor Line]--&gt; Tebet --[Jalan Kaki (Integrasi)]--&gt; Stasiun Tebet --[6D]--&gt; Bundaran Senayan 1 --[1P]--&gt; Blok M Jalur 2 --[Jalan Kaki (Selesai)]--&gt; End: Blok M</t>
  </si>
  <si>
    <t>Manggarai</t>
  </si>
  <si>
    <t>TJ 4B</t>
  </si>
  <si>
    <t>Rute-18</t>
  </si>
  <si>
    <t>Sudirman</t>
  </si>
  <si>
    <t>Start: UI --[Jalan Kaki]--&gt; Universitas Indonesia Train Station --[Bogor Line]--&gt; Tanjung Barat --[Jalan Kaki (Integrasi)]--&gt; St. Tj. Barat 2 --[D21]--&gt; St. MRT Fatmawati --[Jalan Kaki (Integrasi)]--&gt; Fatmawati Indomaret --[Lebak Bulus - Bundaran HI]--&gt; Blok M BCA --[Jalan Kaki (Selesai)]--&gt; End: Blok M</t>
  </si>
  <si>
    <t>Cikarang Line</t>
  </si>
  <si>
    <t>Dukuh Atas BNI</t>
  </si>
  <si>
    <t>Rute-19</t>
  </si>
  <si>
    <t>Start: UI  --[D21]--&gt; St. MRT Fatmawati --[Jalan Kaki (Integrasi)]--&gt; Kantor Pos Fatmawati --[1E]--&gt; Blok M BCA --[Jalan Kaki (Selesai)]--&gt; End: Blok M</t>
  </si>
  <si>
    <t>Blok M BCA</t>
  </si>
  <si>
    <t>Rute-20</t>
  </si>
  <si>
    <t>Bundaran HI - Lebak Bulus</t>
  </si>
  <si>
    <t>Start: UI --[Jalan Kaki]--&gt; Universitas Indonesia Train Station --[Bogor Line]--&gt; Cawang --[Jalan Kaki (Integrasi)]--&gt; Cikoko Arah Barat --[9]--&gt; Pancoran Arah Barat --[13B]--&gt; CSW 1 --[Jalan Kaki (Integrasi)]--&gt; Kejaksaan Agung --[1]--&gt; Blok M --[Jalan Kaki (Selesai)]--&gt; End: Blok M</t>
  </si>
  <si>
    <t>mrt</t>
  </si>
  <si>
    <t>Rute-21</t>
  </si>
  <si>
    <t>Start: UI --[Jalan Kaki]--&gt; Universitas Indonesia Train Station --[Bogor Line]--&gt; Cawang --[Jalan Kaki (Integrasi)]--&gt; Cikoko Arah Barat --[9]--&gt; Tegal Parang Arah Barat --[Jalan Kaki (Integrasi)]--&gt; Tegal Mampang --[13]--&gt; CSW --[Jalan Kaki (Integrasi)]--&gt; Kejaksaan Agung --[1]--&gt; Blok M --[Jalan Kaki (Selesai)]--&gt; End: Blok M</t>
  </si>
  <si>
    <t>Rute-22</t>
  </si>
  <si>
    <t>Start: UI --[Jalan Kaki]--&gt; Universitas Indonesia Train Station --[Bogor Line]--&gt; Cawang --[Jalan Kaki (Integrasi)]--&gt; Cikoko Arah Barat --[9]--&gt; Pancoran Arah Barat --[9D]--&gt; Tegal Parang 1 --[Jalan Kaki (Integrasi)]--&gt; Tegal Mampang --[7B]--&gt; Blok M Jalur 2 --[Jalan Kaki (Selesai)]--&gt; End: Blok M</t>
  </si>
  <si>
    <t>Rute-23</t>
  </si>
  <si>
    <t>Dukuh Atas</t>
  </si>
  <si>
    <t>Start: UI --[Jalan Kaki]--&gt; Universitas Indonesia Train Station --[Bogor Line]--&gt; Cawang --[Jalan Kaki (Integrasi)]--&gt; Cikoko Arah Barat --[9]--&gt; Pancoran Arah Barat --[4K]--&gt; Kejaksaan Agung --[1]--&gt; Blok M --[Jalan Kaki (Selesai)]--&gt; End: Blok M</t>
  </si>
  <si>
    <t>Rute-24</t>
  </si>
  <si>
    <t>Start: UI --[Jalan Kaki]--&gt; Universitas Indonesia Train Station --[Bogor Line]--&gt; Cawang --[Jalan Kaki (Integrasi)]--&gt; Cikoko Arah Barat --[9]--&gt; Pancoran Arah Barat --[9]--&gt; Tegal Parang Arah Barat --[Jalan Kaki (Integrasi)]--&gt; Tegal Mampang --[6V]--&gt; Kejaksaan Agung --[1]--&gt; Blok M --[Jalan Kaki (Selesai)]--&gt; End: Blok M</t>
  </si>
  <si>
    <t>Rute-25</t>
  </si>
  <si>
    <t>Start: UI --[Jalan Kaki]--&gt; Universitas Indonesia Train Station --[Bogor Line]--&gt; Cawang --[Jalan Kaki (Integrasi)]--&gt; Cikoko Arah Barat --[9]--&gt; Pancoran Arah Barat --[9]--&gt; Tegal Parang Arah Barat --[Jalan Kaki (Integrasi)]--&gt; Tegal Mampang --[7B]--&gt; Blok M Jalur 2 --[Jalan Kaki (Selesai)]--&gt; End: Blok M</t>
  </si>
  <si>
    <t>Rute-26</t>
  </si>
  <si>
    <t>Start: UI --[Jalan Kaki]--&gt; Universitas Indonesia Train Station --[Bogor Line]--&gt; Cawang --[Jalan Kaki (Integrasi)]--&gt; Cikoko Arah Barat --[9]--&gt; Pancoran Arah Barat --[9C]--&gt; Senayan Bank Jakarta --[1]--&gt; Blok M --[Jalan Kaki (Selesai)]--&gt; End: Blok M</t>
  </si>
  <si>
    <t>Galunggung</t>
  </si>
  <si>
    <t>Rute-27</t>
  </si>
  <si>
    <t>Start: UI --[Jalan Kaki]--&gt; Universitas Indonesia Train Station --[Bogor Line]--&gt; Cawang --[Jalan Kaki (Integrasi)]--&gt; Cikoko Arah Barat --[9]--&gt; Semanggi --[Jalan Kaki (Integrasi)]--&gt; Bendungan Hilir --[Bundaran HI - Lebak Bulus]--&gt; Blok M BCA --[Jalan Kaki (Selesai)]--&gt; End: Blok M</t>
  </si>
  <si>
    <t>Rute-28</t>
  </si>
  <si>
    <t>Start: UI --[Jalan Kaki]--&gt; Universitas Indonesia Train Station --[Bogor Line]--&gt; Cawang --[Jalan Kaki (Integrasi)]--&gt; Cikoko Arah Barat --[9]--&gt; Tegal Parang Arah Barat --[Jalan Kaki (Integrasi)]--&gt; Tegal Mampang --[7B]--&gt; Blok M Jalur 2 --[Jalan Kaki (Selesai)]--&gt; End: Blok M</t>
  </si>
  <si>
    <t>Rute-29</t>
  </si>
  <si>
    <t>Start: UI --[Jalan Kaki]--&gt; Universitas Indonesia Train Station --[Bogor Line]--&gt; Cawang --[Jalan Kaki (Integrasi)]--&gt; Cikoko Arah Barat --[9C]--&gt; Senayan Bank Jakarta --[1]--&gt; Blok M --[Jalan Kaki (Selesai)]--&gt; End: Blok M</t>
  </si>
  <si>
    <t>St. MRT Fatmawati</t>
  </si>
  <si>
    <t>TJ D21</t>
  </si>
  <si>
    <t>Rute-30</t>
  </si>
  <si>
    <t>Start: UI --[Jalan Kaki]--&gt; Universitas Indonesia Train Station --[Bogor Line]--&gt; Cawang --[Jalan Kaki (Integrasi)]--&gt; Cikoko Arah Barat --[9C]--&gt; Bundaran Senayan --[1]--&gt; Blok M --[Jalan Kaki (Selesai)]--&gt; End: Blok M</t>
  </si>
  <si>
    <t>Fatmawati Indomaret</t>
  </si>
  <si>
    <t>Rute-31</t>
  </si>
  <si>
    <t>Start: UI --[Jalan Kaki]--&gt; Universitas Indonesia Train Station --[Bogor Line]--&gt; Cawang --[Jalan Kaki (Integrasi)]--&gt; Cikoko Arah Barat --[4K]--&gt; Kejaksaan Agung --[1]--&gt; Blok M  --[Jalan Kaki (Selesai)]--&gt; End: Blok M</t>
  </si>
  <si>
    <t>Lebak Bulus - Bundaran HI</t>
  </si>
  <si>
    <t>Rute-32</t>
  </si>
  <si>
    <t>Start: UI --[Jalan Kaki]--&gt; Universitas Indonesia Train Station --[Bogor Line]--&gt; Cawang --[Jalan Kaki (Integrasi)]--&gt; Cikoko Arah Barat --[9]--&gt; Simpang Kuningan --[Jalan Kaki (Integrasi)]--&gt; Hotel Maharadja --[6U]--&gt; Blok M Jalur 3 --[Jalan Kaki (Selesai)]--&gt; End: Blok M</t>
  </si>
  <si>
    <t>Rute-33</t>
  </si>
  <si>
    <t>Start: UI --[Jalan Kaki]--&gt; Universitas Indonesia Train Station --[Bogor Line]--&gt; Tebet --[Jalan Kaki (Integrasi)]--&gt; Stasiun Tebet --[6C]--&gt; Kuningan --[13E]--&gt; CSW --[Jalan Kaki (Integrasi)]--&gt; Kejaksaan Agung --[1]--&gt; Blok M --[Jalan Kaki (Selesai)]--&gt; End: Blok M</t>
  </si>
  <si>
    <t>Rute-34</t>
  </si>
  <si>
    <t>Start: UI --[Jalan Kaki]--&gt; Universitas Indonesia Train Station --[Bogor Line]--&gt; Cawang --[Bogor Line]--&gt; Manggarai --[Cikarang Line]--&gt; Sudirman --[Jalan Kaki (Integrasi)]--&gt; Dukuh Atas BNI --[Bundaran HI - Lebak Bulus]--&gt; Blok M BCA --[Jalan Kaki (Selesai)]--&gt; End: Blok M</t>
  </si>
  <si>
    <t>Cikini Station</t>
  </si>
  <si>
    <t>Rute-9</t>
  </si>
  <si>
    <t>SMPN 8</t>
  </si>
  <si>
    <t>Rute-36</t>
  </si>
  <si>
    <t>Bundaran Senayan 1</t>
  </si>
  <si>
    <t>Start: UI --[Jalan Kaki]--&gt; Universitas Indonesia Train Station --[Bogor Line]--&gt; Cawang --[Bogor Line]--&gt; Manggarai --[Cikarang Line]--&gt; Sudirman --[Jalan Kaki (Integrasi)]--&gt; Dukuh Atas --[1]--&gt; Blok M --[Jalan Kaki (Selesai)]--&gt; End: Blok M</t>
  </si>
  <si>
    <t>4C</t>
  </si>
  <si>
    <t>Blok M Jalur 2</t>
  </si>
  <si>
    <t>1P</t>
  </si>
  <si>
    <t>Rute-38</t>
  </si>
  <si>
    <t>Start: UI --[Jalan Kaki]--&gt; Universitas Indonesia Train Station --[Bogor Line]--&gt; Cawang --[Bogor Line]--&gt; Manggarai --[4]--&gt; Galunggung --[Jalan Kaki (Integrasi)]--&gt; Dukuh Atas --[1]--&gt; Blok M --[Jalan Kaki (Selesai)]--&gt; End: Blok M</t>
  </si>
  <si>
    <t>Rute-39</t>
  </si>
  <si>
    <t>Start: UI --[Jalan Kaki]--&gt; Universitas Indonesia Train Station --[Bogor Line]--&gt; Cawang --[Jalan Kaki (Integrasi)]--&gt; Cikoko --[Cibubur Line]--&gt; Pancoran --[Jalan Kaki (Integrasi)]--&gt; Pancoran Arah Barat --[13B]--&gt; CSW 1  --[Jalan Kaki (Integrasi)]--&gt; Kejaksaan Agung --[1]--&gt; Blok M --[Jalan Kaki (Selesai)]--&gt; End: Blok M</t>
  </si>
  <si>
    <t>Rute-40</t>
  </si>
  <si>
    <t>Start: UI --[Jalan Kaki]--&gt; Universitas Indonesia Train Station --[Bogor Line]--&gt; Cawang --[Jalan Kaki (Integrasi)]--&gt; Cikoko --[Cibubur Line]--&gt; Pancoran --[Jalan Kaki (Integrasi)]--&gt; Pancoran Arah Barat --[9D]--&gt; Tegal Parang 1 --[Jalan Kaki (Integrasi)]--&gt; Tegal Mampang --[6V]--&gt; Kejaksaan Agung --[1]--&gt; Blok M --[Jalan Kaki (Selesai)]--&gt; End: Blok M</t>
  </si>
  <si>
    <t>Rute-17</t>
  </si>
  <si>
    <t>Rute-41</t>
  </si>
  <si>
    <t>Start: UI --[Jalan Kaki]--&gt; Universitas Indonesia Train Station --[Bogor Line]--&gt; Cawang --[Jalan Kaki (Integrasi)]--&gt; Cikoko --[Cibubur Line]--&gt; Pancoran --[Jalan Kaki (Integrasi)]--&gt; Pancoran Arah Barat --[9D]--&gt; Tegal Parang 1 --[Jalan Kaki (Integrasi)]--&gt; Tegal Mampang --[7B]--&gt; Blok M Jalur 2 --[Jalan Kaki (Selesai)]--&gt; End: Blok M</t>
  </si>
  <si>
    <t>Rute-42</t>
  </si>
  <si>
    <t>Terminal Blok M</t>
  </si>
  <si>
    <t>Start: UI --[Jalan Kaki]--&gt; Universitas Indonesia Train Station --[Bogor Line]--&gt; Cawang --[Jalan Kaki (Integrasi)]--&gt; Cikoko --[Cibubur Line]--&gt; Pancoran --[Jalan Kaki (Integrasi)]--&gt; Pancoran Arah Barat --[4K]--&gt; Kejaksaan Agung --[1]--&gt; Blok M --[Jalan Kaki (Selesai)]--&gt; End: Blok M</t>
  </si>
  <si>
    <t>Bogor - Blok M</t>
  </si>
  <si>
    <t>Rute-43</t>
  </si>
  <si>
    <t>Start: UI --[Jalan Kaki]--&gt; Universitas Indonesia Train Station --[Bogor Line]--&gt; Cawang --[Jalan Kaki (Integrasi)]--&gt; Cikoko --[Cibubur Line]--&gt; Pancoran --[Jalan Kaki (Integrasi)]--&gt; Pancoran Arah Barat --[9]--&gt; Tegal Parang Arah Barat --[Jalan Kaki (Integrasi)]--&gt; Tegal Mampang --[6V]--&gt; Kejaksaan Agung --[1]--&gt; Blok M --[Jalan Kaki (Selesai)]--&gt; End: Blok M</t>
  </si>
  <si>
    <t>Rute-44</t>
  </si>
  <si>
    <t>Start: UI --[Jalan Kaki]--&gt; Universitas Indonesia Train Station --[Bogor Line]--&gt; Cawang --[Jalan Kaki (Integrasi)]--&gt; Cikoko --[Cibubur Line]--&gt; Pancoran --[Jalan Kaki (Integrasi)]--&gt; Pancoran Arah Barat --[9]--&gt; Tegal Parang Arah Barat --[Jalan Kaki (Integrasi)]--&gt; Tegal Mampang --[7B]--&gt; Blok M Jalur 2 --[Jalan Kaki (Selesai)]--&gt; End: Blok M</t>
  </si>
  <si>
    <t>Rute-45</t>
  </si>
  <si>
    <t>Start: UI --[Jalan Kaki]--&gt; Universitas Indonesia Train Station --[Bogor Line]--&gt; Cawang --[Jalan Kaki (Integrasi)]--&gt; Cikoko --[Cibubur Line]--&gt; Pancoran --[Jalan Kaki (Integrasi)]--&gt; Pancoran Arah Barat --[9C]--&gt; Senayan Bank Jakarta --[1]--&gt; Blok M --[Jalan Kaki (Selesai)]--&gt; End: Blok M</t>
  </si>
  <si>
    <t>Rute-46</t>
  </si>
  <si>
    <t>Start: UI --[Jalan Kaki]--&gt; Universitas Indonesia Train Station --[Bogor Line]--&gt; Depok Baru --[TJ D11]--&gt; Cawang-Sentral 2 --[Jalan Kaki (Integrasi)]--&gt; Cawang-Sentral--[9]--&gt; Pancoran Arah Barat --[13B]--&gt; CSW 1 --[Jalan Kaki (Integrasi)]--&gt; Kejaksaan Agung --[1]--&gt; Blok M --[Jalan Kaki (Selesai)]--&gt; End: Blok M</t>
  </si>
  <si>
    <t>Rute-47</t>
  </si>
  <si>
    <t>Start: UI --[Jalan Kaki]--&gt; Universitas Indonesia Train Station --[Bogor Line]--&gt; Depok Baru  --[TJ D11]--&gt; Cawang-Sentral 2 --[Jalan Kaki (Integrasi)]--&gt; Cawang-Sentral --[9]--&gt; Pancoran Arah Barat --[9D]--&gt; Tegal Parang 1 --[Jalan Kaki (Integrasi)]--&gt; Tegal Mampang --[6V]--&gt; Kejaksaan Agung --[1]--&gt; Blok M  --[Jalan Kaki (Selesai)]--&gt; End: Blok M</t>
  </si>
  <si>
    <t>Rute-48</t>
  </si>
  <si>
    <t>Start: UI --[Jalan Kaki]--&gt; Universitas Indonesia Train Station --[Bogor Line]--&gt; Depok Baru  --[TJ D11]--&gt;Cawang-Sentral 2 --[Jalan Kaki (Integrasi)]--&gt; Cawang-Sentral --[9]--&gt; Pancoran Arah Barat --[9D]--&gt; Tegal Parang 1 --[Jalan Kaki (Integrasi)]--&gt; Tegal Mampang --[7B]--&gt; Blok M Jalur 2 --[Jalan Kaki (Selesai)]--&gt; End: Blok M</t>
  </si>
  <si>
    <t>Rute-49</t>
  </si>
  <si>
    <t>Start: UI --[Jalan Kaki]--&gt; Universitas Indonesia Train Station --[Bogor Line]--&gt; Depok Baru  --[TJ D11]--&gt; Cawang-Sentral 2 --[Jalan Kaki (Integrasi)]--&gt; Cawang-Sentral --[9]--&gt; Pancoran Arah Barat --[4K]--&gt; Kejaksaan Agung --[1]--&gt; Blok M --[Jalan Kaki (Selesai)]--&gt; End: Blok M</t>
  </si>
  <si>
    <t>Rute-50</t>
  </si>
  <si>
    <t>Start: UI --[Jalan Kaki]--&gt; Universitas Indonesia Train Station --[Bogor Line]--&gt; Depok Baru  --[TJ D11]--&gt; Cawang-Sentral 2 --[Jalan Kaki (Integrasi)]--&gt; Cawang-Sentral --[9]--&gt; Tegal Parang Arah Barat --[Jalan Kaki (Integrasi)]--&gt; Tegal Mampang --[6V]--&gt; Kejaksaan Agung --[1]--&gt; Blok M --[Jalan Kaki (Selesai)]--&gt; End: Blok M</t>
  </si>
  <si>
    <t>Rute-51</t>
  </si>
  <si>
    <t>Start: UI --[Jalan Kaki]--&gt; Universitas Indonesia Train Station --[Bogor Line]--&gt; Depok Baru  --[TJ D11]--&gt; Cawang-Sentral 2 --[Jalan Kaki (Integrasi)]--&gt; Cawang-Sentral --[9]--&gt; Pancoran Arah Barat --[9]--&gt; Tegal Parang Arah Barat --[Jalan Kaki (Integrasi)]--&gt; Tegal Mampang --[7B]--&gt; Blok M Jalur 2 --[Jalan Kaki (Selesai)]--&gt; End: Blok M</t>
  </si>
  <si>
    <t>Rute-52</t>
  </si>
  <si>
    <t>Start: UI --[Jalan Kaki]--&gt; Universitas Indonesia Train Station --[Bogor Line]--&gt; Depok Baru  --[TJ D11]--&gt;Cawang-Sentral 2 --[Jalan Kaki (Integrasi)]--&gt; Cawang-Sentral --[9]--&gt; Pancoran Arah Barat --[9C]--&gt; Senayan Bank Jakarta --[1]--&gt; Blok M --[Jalan Kaki (Selesai)]--&gt; End: Blok M</t>
  </si>
  <si>
    <t>Rute-53</t>
  </si>
  <si>
    <t>Tebet</t>
  </si>
  <si>
    <t>Stasiun Tebet</t>
  </si>
  <si>
    <t>Rute-54</t>
  </si>
  <si>
    <t>Start: UI --[Jalan Kaki]--&gt; Universitas Indonesia Train Station --[Bogor Line]--&gt; Depok Baru  --[TJ D11]--&gt; Cawang-Sentral 2 --[Jalan Kaki (Integrasi)]--&gt; Cawang-Sentral --[9]--&gt; Tegal Parang Arah Barat --[Jalan Kaki (Integrasi)]--&gt; Tegal Mampang --[7B]--&gt; Blok M Jalur 2 --[Jalan Kaki (Selesai)]--&gt; End: Blok M</t>
  </si>
  <si>
    <t>6D</t>
  </si>
  <si>
    <t>Rute-55</t>
  </si>
  <si>
    <t>Start: UI --[Jalan Kaki]--&gt; Universitas Indonesia Train Station --[Bogor Line]--&gt; Depok Baru  --[TJ D11]--&gt; Cawang-Sentral 2 --[Jalan Kaki (Integrasi)]--&gt; Cawang-Sentral --[9C]--&gt; Senayan Bank Jakarta --[1]--&gt; Blok M --[Jalan Kaki (Selesai)]--&gt; End: Blok M</t>
  </si>
  <si>
    <t>Rute-56</t>
  </si>
  <si>
    <t>Start: UI --[Jalan Kaki]--&gt; Universitas Indonesia Train Station --[Bogor Line]--&gt; Depok Baru  --[TJ D11]--&gt; Cawang-Sentral 2 --[Jalan Kaki (Integrasi)]--&gt; Cawang-Sentral --[9C]--&gt; Bundaran Senayan --[1]--&gt; Blok M --[Jalan Kaki (Selesai)]--&gt; End: Blok M</t>
  </si>
  <si>
    <t>Rute-57</t>
  </si>
  <si>
    <t>Start: UI --[Jalan Kaki]--&gt; Universitas Indonesia Train Station --[Bogor Line]--&gt; Depok Baru  --[TJ D11]--&gt; Cawang-Sentral 2 --[Jalan Kaki (Integrasi)]--&gt; Cawang-Sentral--[9]--&gt; Cikoko Arah Barat --[4K]--&gt; Kejaksaan Agung --[1]--&gt; Blok M --[Jalan Kaki (Selesai)]--&gt; End: Blok M</t>
  </si>
  <si>
    <t>Rute-58</t>
  </si>
  <si>
    <t>Start: UI --[Jalan Kaki]--&gt; Universitas Indonesia Train Station --[Bogor Line]--&gt; Depok Baru --[TJ D11]--&gt; Cawang-Sentral 2 --[Jalan Kaki (Integrasi)]--&gt; Cawang-Sentral --[9]--&gt; Simpang Kuningan --[Jalan Kaki (Integrasi)]--&gt; Hotel Maharadja --[6U]--&gt; Blok M Jalur 3 --[Jalan Kaki (Selesai)]--&gt; End: Blok M</t>
  </si>
  <si>
    <t>Tanjung Barat</t>
  </si>
  <si>
    <t>St. Tj. Barat 2</t>
  </si>
  <si>
    <t>D21</t>
  </si>
  <si>
    <t>Rute-65</t>
  </si>
  <si>
    <t>Start: UI --[Jalan Kaki]--&gt; Universitas Indonesia Train Station --[Bogor Line]--&gt; Depok Baru --[TJ D11]--&gt; Cawang-Sentral 2 --[Jalan Kaki (Integrasi)]--&gt; Cawang-Sentral --[9]--&gt; Cikoko --[Cibubur Line]--&gt; Pancoran --[Jalan Kaki (Integrasi)]--&gt; Pancoran Arah Barat --[13B]--&gt; CSW 1 --[Jalan Kaki (Integrasi)]--&gt; Kejaksaan Agung --[1]--&gt; Blok M  --[Jalan Kaki (Selesai)]--&gt; End: Blok M</t>
  </si>
  <si>
    <t>Rute-66</t>
  </si>
  <si>
    <t>Start: UI --[Jalan Kaki]--&gt; Universitas Indonesia Train Station --[Bogor Line]--&gt; Depok Baru --[TJ D11]--&gt; Cawang-Sentral 2 --[Jalan Kaki (Integrasi)]--&gt; Cawang-Sentral --[9]--&gt; Cikoko --[Cibubur Line]--&gt; Pancoran --[Jalan Kaki (Integrasi)]--&gt; Pancoran Arah Barat --[9D]--&gt; Tegal Parang 1 --[Jalan Kaki (Integrasi)]--&gt; Tegal Mampang --[6V]--&gt; Kejaksaan Agung --[1]--&gt; Blok M --[Jalan Kaki (Selesai)]--&gt; End: Blok M</t>
  </si>
  <si>
    <t>Rute-67</t>
  </si>
  <si>
    <t>Start: UI --[Jalan Kaki]--&gt; Universitas Indonesia Train Station --[Bogor Line]--&gt; Pasar Minggu --[Jalan Kaki (Integrasi)]--&gt; Terminal Pasar Minggu --[9D]--&gt; Simpang Kuningan --[9]--&gt; Semanggi --[Jalan Kaki (Integrasi)]--&gt; Bendungan Hilir --[Bundaran HI - Lebak Bulus]--&gt; Blok M BCA --[Jalan Kaki (Selesai)]--&gt; End: Blok M</t>
  </si>
  <si>
    <t>Kantor Pos Fatmawati</t>
  </si>
  <si>
    <t>Rute-68</t>
  </si>
  <si>
    <t>Start: UI --[Jalan Kaki]--&gt; Universitas Indonesia Train Station --[Bogor Line]--&gt; Depok Baru --[TJ D11]--&gt; Cawang-Sentral 2 --[Jalan Kaki (Integrasi)]--&gt; Cawang-Sentral --[9]--&gt; Cikoko --[Cibubur Line]--&gt; Pancoran --[Jalan Kaki (Integrasi)]--&gt; Pancoran Arah Barat --[4K]--&gt; Kejaksaan Agung --[1]--&gt; Blok M --[Jalan Kaki (Selesai)]--&gt; End: Blok M</t>
  </si>
  <si>
    <t>1E</t>
  </si>
  <si>
    <t>Rute-69</t>
  </si>
  <si>
    <t>Start: UI --[Jalan Kaki]--&gt; Universitas Indonesia Train Station --[Bogor Line]--&gt; Depok Baru --[TJ D11]--&gt; Cawang-Sentral 2 --[Jalan Kaki (Integrasi)]--&gt; Cawang-Sentral --[9]--&gt; Cikoko --[Cibubur Line]--&gt; Pancoran --[Jalan Kaki (Integrasi)]--&gt; Pancoran Arah Barat --[9]--&gt; Tegal Parang Arah Barat --[Jalan Kaki (Integrasi)]--&gt; Tegal Mampang --[6V]--&gt; Kejaksaan Agung --[1]--&gt; Blok M --[Jalan Kaki (Selesai)]--&gt; End: Blok M</t>
  </si>
  <si>
    <t>Rute-70</t>
  </si>
  <si>
    <t>Start: UI --[Jalan Kaki]--&gt; Universitas Indonesia Train Station --[Bogor Line]--&gt; Depok Baru --[TJ D11]--&gt; Cawang-Sentral 2 --[Jalan Kaki (Integrasi)]--&gt; Cawang-Sentral --[9]--&gt; Cikoko --[Cibubur Line]--&gt; Pancoran --[Jalan Kaki (Integrasi)]--&gt; Pancoran Arah Barat --[9]--&gt; Tegal Parang Arah Barat --[Jalan Kaki (Integrasi)]--&gt; Tegal Mampang --[7B]--&gt; Blok M Jalur 2 --[Jalan Kaki (Selesai)]--&gt; End: Blok M</t>
  </si>
  <si>
    <t>Rute-71</t>
  </si>
  <si>
    <t>Start: UI --[Jalan Kaki]--&gt; Universitas Indonesia Train Station --[Bogor Line]--&gt; Depok Baru --[TJ D11]--&gt; Cawang-Sentral 2 --[Jalan Kaki (Integrasi)]--&gt; Cawang-Sentral --[9]--&gt; Cikoko --[Cibubur Line]--&gt; Pancoran --[Jalan Kaki (Integrasi)]--&gt; Pancoran Arah Barat --[9C]--&gt; Senayan Bank Jakarta --[1]--&gt; Blok M --[Jalan Kaki (Selesai)]--&gt; End: Blok M</t>
  </si>
  <si>
    <t>Cikoko Arah Barat</t>
  </si>
  <si>
    <t>Rute-72</t>
  </si>
  <si>
    <t>Start: UI -- [TJ 4B]--&gt; Bus Stop Pasar Minggu -- [6T] --&gt; St. MRT Blok A --[Lebak Bulus - Bundaran HI]--&gt; St. MRT Blok M --[Jalan Kaki (Selesai)]--&gt; End: Blok M</t>
  </si>
  <si>
    <t>Pancoran Arah Barat</t>
  </si>
  <si>
    <t>Rute-73</t>
  </si>
  <si>
    <t>Start: UI --[Jalan Kaki]--&gt;Universitas Indonesia Train Station--[ Bogor Line]--&gt; Pasar Minggu-- [6T] --&gt; St. MRT Blok A --[Lebak Bulus - Bundaran HI]--&gt; St. MRT Blok M --[Jalan Kaki (Selesai)]--&gt; End: Blok M</t>
  </si>
  <si>
    <t>CSW 1</t>
  </si>
  <si>
    <t>13B</t>
  </si>
  <si>
    <t>Rute-74</t>
  </si>
  <si>
    <t>Start: UI --[Jalan Kaki]--&gt;Universitas Indonesia Train Station--[ Bogor Line]--&gt; Duren Kalibata --[7Q] --&gt; St. MRT Blok M --[Jalan Kaki (Selesai)]--&gt; End: Blok M</t>
  </si>
  <si>
    <t>Rute-75</t>
  </si>
  <si>
    <t>Start: UI --[Jalan Kaki]--&gt; Universitas Indonesia Train Station --[Bogor Line]--&gt; Cawang --[Jalan Kaki (Integrasi)]--&gt; Cikoko --[Cibubur Line]--&gt; Dukuh Atas --[Jalan Kaki (Integrasi)]--&gt; Dukuh Atas BNI --[Bundaran HI - Lebak Bulus]--&gt; Blok M BCA --[Jalan Kaki (Selesai)]--&gt; End: Blok M</t>
  </si>
  <si>
    <t>Rute-76</t>
  </si>
  <si>
    <t>Start: UI --[TJ 4B]--&gt; Bus Stop Pasar Minggu --[6U]--&gt; Terminal Blok M --[Jalan Kaki (Selesai)]--&gt; End: Blok M</t>
  </si>
  <si>
    <t>Rute-77</t>
  </si>
  <si>
    <t>Start: UI -- [TJ 4B]--&gt; St. Manggarai -- [6M] --&gt; Terminal Blok M -[Jalan Kaki (Selesai)]--&gt; End: Blok M</t>
  </si>
  <si>
    <t>Tegal Parang Arah Barat</t>
  </si>
  <si>
    <t>Rute-78</t>
  </si>
  <si>
    <t>Start: UI --[Jalan Kaki]--&gt; Universitas Indonesia Train Station --[Bogor Line]--&gt; St. Manggarai -- [6M] --&gt; Terminal Blok M -[Jalan Kaki (Selesai)]--&gt; End: Blok M</t>
  </si>
  <si>
    <t>Tegal Mampang</t>
  </si>
  <si>
    <t>Tegal Parang 1</t>
  </si>
  <si>
    <t>9D</t>
  </si>
  <si>
    <t>Rute-86</t>
  </si>
  <si>
    <t>Start: UI --[TJ 4B]--&gt; Manggarai --[Bogor Line]--&gt; Cikini Station --[Jalan Kaki (Integrasi)]--&gt; SMPN 8 --[4C]--&gt; Bundaran Senayan 1 --[1P]--&gt; Blok M Jalur 2 --[Jalan Kaki (Selesai)]--&gt; End: Blok M</t>
  </si>
  <si>
    <t>7B</t>
  </si>
  <si>
    <t>4K</t>
  </si>
  <si>
    <t>6V</t>
  </si>
  <si>
    <t>Senayan Bank Jakarta</t>
  </si>
  <si>
    <t>9C</t>
  </si>
  <si>
    <t>Highest</t>
  </si>
  <si>
    <t>Semanggi</t>
  </si>
  <si>
    <t>Bendungan Hilir</t>
  </si>
  <si>
    <t>Bundaran Senayan</t>
  </si>
  <si>
    <t>Simpang Kuningan</t>
  </si>
  <si>
    <t>Hotel Maharadja</t>
  </si>
  <si>
    <t>Blok M Jalur 3</t>
  </si>
  <si>
    <t>6U</t>
  </si>
  <si>
    <t>6C</t>
  </si>
  <si>
    <t>Pancoran</t>
  </si>
  <si>
    <t>Start: UI --[TJ 4B]--&gt; Manggarai --[Cikarang Line]--&gt; Sudirman --[Jalan Kaki (Integrasi)]--&gt; Stasiun Sudirman --[AC52A]--&gt; Komdak 2 --[Jalan Kaki (Integrasi)]--&gt; Komdak 1 --[Bogor - Blok M]--&gt; Terminal Blok M --[Jalan Kaki (Selesai)]--&gt; End: Blok M</t>
  </si>
  <si>
    <t>Depok Baru</t>
  </si>
  <si>
    <t>Cawang-Sentral 2</t>
  </si>
  <si>
    <t>TJ D11</t>
  </si>
  <si>
    <t>Rute-3</t>
  </si>
  <si>
    <t>Start: UI --[TJ 4B]--&gt; Manggarai --[Cikarang Line]--&gt; Sudirman --[Jalan Kaki (Integrasi)]--&gt; Dukuh Atas --[1]--&gt; Bundaran Senayan --[1]--&gt; Blok M --[Jalan Kaki (Selesai)]--&gt; End: Blok M</t>
  </si>
  <si>
    <t>Cawang-Sentral</t>
  </si>
  <si>
    <t>Rute-5</t>
  </si>
  <si>
    <t>Start: UI --[TJ 4B]--&gt; Manggarai --[4]--&gt; Galunggung --[Jalan Kaki (Integrasi)]--&gt; Dukuh Atas --[1]--&gt; Bundaran Senayan --[1]--&gt; Blok M --[Jalan Kaki (Selesai)]--&gt; End: Blok M</t>
  </si>
  <si>
    <t>Start: UI --[TJ D21]--&gt; St. MRT Fatmawati --[Jalan Kaki (Integrasi)]--&gt; Fatmawati Indomaret --[Bundaran HI - Lebak Bulus]--&gt; Blok M BCA --[Jalan Kaki (Selesai)]--&gt; End: Blok M</t>
  </si>
  <si>
    <t>Start: UI --[Jalan Kaki]--&gt; Universitas Indonesia Train Station --[Bogor Line]--&gt; Cikini Station --[Jalan Kaki (Integrasi)]--&gt; SMPN 8 --[4C]--&gt; Bundaran Senayan 1 --[Bogor - Blok M]--&gt; Terminal Blok M --[Jalan Kaki (Selesai)]--&gt; End: Blok M</t>
  </si>
  <si>
    <t>Rute-10</t>
  </si>
  <si>
    <t>Start: UI --[Jalan Kaki]--&gt; Universitas Indonesia Train Station --[Bogor Line]--&gt; Manggarai --[Cikarang Line]--&gt; Sudirman --[Jalan Kaki (Integrasi)]--&gt; Stasiun Sudirman --[AC52A]--&gt; Komdak 2 --[Jalan Kaki (Integrasi)]--&gt; Komdak 1 --[Bogor - Blok M]--&gt; Terminal Blok M --[Jalan Kaki (Selesai)]--&gt; End: Blok M</t>
  </si>
  <si>
    <t>Rute-12</t>
  </si>
  <si>
    <t>Start: UI --[Jalan Kaki]--&gt; Universitas Indonesia Train Station --[Bogor Line]--&gt; Manggarai --[Cikarang Line]--&gt; Sudirman --[Jalan Kaki (Integrasi)]--&gt; Dukuh Atas --[1]--&gt; Bundaran Senayan --[1]--&gt; Blok M --[Jalan Kaki (Selesai)]--&gt; End: Blok M</t>
  </si>
  <si>
    <t>Rute-14</t>
  </si>
  <si>
    <t>Start: UI --[Jalan Kaki]--&gt; Universitas Indonesia Train Station --[Bogor Line]--&gt; Manggarai --[4]--&gt; Galunggung --[Jalan Kaki (Integrasi)]--&gt; Dukuh Atas --[1]--&gt; Bundaran Senayan --[1]--&gt; Blok M --[Jalan Kaki (Selesai)]--&gt; End: Blok M</t>
  </si>
  <si>
    <t>Start: UI --[Jalan Kaki]--&gt; Universitas Indonesia Train Station --[Bogor Line]--&gt; Tebet --[Jalan Kaki (Integrasi)]--&gt; Stasiun Tebet --[6D]--&gt; Bundaran Senayan 1 --[Bogor - Blok M]--&gt; Terminal Blok M --[Jalan Kaki (Selesai)]--&gt; End: Blok M</t>
  </si>
  <si>
    <t>Start: UI --[Jalan Kaki]--&gt; Universitas Indonesia Train Station --[Bogor Line]--&gt; Tanjung Barat --[Jalan Kaki (Integrasi)]--&gt; St. Tj. Barat 2 --[D21]--&gt; St. MRT Fatmawati --[Jalan Kaki (Integrasi)]--&gt; Fatmawati Indomaret --[Bundaran HI - Lebak Bulus]--&gt; Blok M BCA --[Jalan Kaki (Selesai)]--&gt; End: Blok M</t>
  </si>
  <si>
    <t>Start: UI --[Jalan Kaki]--&gt; Universitas Indonesia Train Station --[Bogor Line]--&gt; Pasar Minggu Station --[Jalan Kaki (Integrasi)]--&gt; Terminal Pasar Minggu --[S11]--&gt; Stasiun Cipete Raya I --[Jalan Kaki (Integrasi)]--&gt; Cipete Raya Tuku --[Bundaran HI - Lebak Bulus]--&gt; Blok M BCA --[Jalan Kaki (Selesai)]--&gt; End: Blok M</t>
  </si>
  <si>
    <t>Start: UI --[Jalan Kaki]--&gt; Universitas Indonesia Train Station --[Bogor Line]--&gt; Cawang --[Jalan Kaki (Integrasi)]--&gt; Cikoko Arah Barat --[9]--&gt; Pancoran Arah Barat --[13B]--&gt; CSW 1 --[Jalan Kaki (Selesai)]--&gt; End: Blok M</t>
  </si>
  <si>
    <t>Start: UI --[Jalan Kaki]--&gt; Universitas Indonesia Train Station --[Bogor Line]--&gt; Cawang --[Jalan Kaki (Integrasi)]--&gt; Cikoko Arah Barat --[9]--&gt; Pancoran Arah Barat --[9D]--&gt; Tegal Parang 1 --[Jalan Kaki (Integrasi)]--&gt; Tegal Mampang --[6V]--&gt; Kejaksaan Agung --[Jalan Kaki (Selesai)]--&gt; End: Blok M</t>
  </si>
  <si>
    <t>Start: UI --[Jalan Kaki]--&gt; Universitas Indonesia Train Station --[Bogor Line]--&gt; Cawang --[Jalan Kaki (Integrasi)]--&gt; Cikoko Arah Barat --[9]--&gt; Pancoran Arah Barat --[4K]--&gt; Kejaksaan Agung --[Jalan Kaki (Selesai)]--&gt; End: Blok M</t>
  </si>
  <si>
    <t>Start: UI --[Jalan Kaki]--&gt; Universitas Indonesia Train Station --[Bogor Line]--&gt; Cawang --[Jalan Kaki (Integrasi)]--&gt; Cikoko Arah Barat --[9]--&gt; Pancoran Arah Barat --[9]--&gt; Tegal Parang Arah Barat --[Jalan Kaki (Integrasi)]--&gt; Tegal Mampang --[6V]--&gt; Kejaksaan Agung --[Jalan Kaki (Selesai)]--&gt; End: Blok M</t>
  </si>
  <si>
    <t>Start: UI --[Jalan Kaki]--&gt; Universitas Indonesia Train Station --[Bogor Line]--&gt; Cawang --[Jalan Kaki (Integrasi)]--&gt; Cikoko Arah Barat --[9]--&gt; Tegal Parang Arah Barat --[Jalan Kaki (Integrasi)]--&gt; Tegal Mampang --[6V]--&gt; Kejaksaan Agung --[Jalan Kaki (Selesai)]--&gt; End: Blok M</t>
  </si>
  <si>
    <t>Start: UI --[Jalan Kaki]--&gt; Universitas Indonesia Train Station --[Bogor Line]--&gt; Cawang --[Jalan Kaki (Integrasi)]--&gt; Cikoko Arah Barat --[4K]--&gt; Kejaksaan Agung --[Jalan Kaki (Selesai)]--&gt; End: Blok M</t>
  </si>
  <si>
    <t>Start: UI --[Jalan Kaki]--&gt; Universitas Indonesia Train Station --[Bogor Line]--&gt; Cawang --[Bogor Line]--&gt; Manggarai --[Cikarang Line]--&gt; Sudirman --[Jalan Kaki (Integrasi)]--&gt; Stasiun Sudirman --[AC52A]--&gt; Komdak 2 --[Jalan Kaki (Integrasi)]--&gt; Komdak 1 --[Bogor - Blok M]--&gt; Terminal Blok M --[Jalan Kaki (Selesai)]--&gt; End: Blok M</t>
  </si>
  <si>
    <t>Rute-35</t>
  </si>
  <si>
    <t>Start: UI --[Jalan Kaki]--&gt; Universitas Indonesia Train Station --[Bogor Line]--&gt; Cawang --[Bogor Line]--&gt; Manggarai --[Cikarang Line]--&gt; Sudirman --[Jalan Kaki (Integrasi)]--&gt; Dukuh Atas --[1]--&gt; Bundaran Senayan --[1]--&gt; Blok M --[Jalan Kaki (Selesai)]--&gt; End: Blok M</t>
  </si>
  <si>
    <t>Rute-37</t>
  </si>
  <si>
    <t>Start: UI --[Jalan Kaki]--&gt; Universitas Indonesia Train Station --[Bogor Line]--&gt; Cawang --[Bogor Line]--&gt; Manggarai --[4]--&gt; Galunggung --[Jalan Kaki (Integrasi)]--&gt; Dukuh Atas --[1]--&gt; Bundaran Senayan --[1]--&gt; Blok M --[Jalan Kaki (Selesai)]--&gt; End: Blok M</t>
  </si>
  <si>
    <t>Start: UI --[Jalan Kaki]--&gt; Universitas Indonesia Train Station --[Bogor Line]--&gt; Cawang --[Jalan Kaki (Integrasi)]--&gt; Cikoko --[Cibubur Line]--&gt; Pancoran --[Jalan Kaki (Integrasi)]--&gt; Pancoran Arah Barat --[13B]--&gt; CSW 1 --[Jalan Kaki (Selesai)]--&gt; End: Blok M</t>
  </si>
  <si>
    <t>Start: UI --[Jalan Kaki]--&gt; Universitas Indonesia Train Station --[Bogor Line]--&gt; Cawang --[Jalan Kaki (Integrasi)]--&gt; Cikoko --[Cibubur Line]--&gt; Pancoran --[Jalan Kaki (Integrasi)]--&gt; Pancoran Arah Barat --[9D]--&gt; Tegal Parang 1 --[Jalan Kaki (Integrasi)]--&gt; Tegal Mampang --[6V]--&gt; Kejaksaan Agung --[Jalan Kaki (Selesai)]--&gt; End: Blok M</t>
  </si>
  <si>
    <t>Start: UI --[Jalan Kaki]--&gt; Universitas Indonesia Train Station --[Bogor Line]--&gt; Cawang --[Jalan Kaki (Integrasi)]--&gt; Cikoko --[Cibubur Line]--&gt; Pancoran --[Jalan Kaki (Integrasi)]--&gt; Pancoran Arah Barat --[4K]--&gt; Kejaksaan Agung --[Jalan Kaki (Selesai)]--&gt; End: Blok M</t>
  </si>
  <si>
    <t>Start: UI --[Jalan Kaki]--&gt; Universitas Indonesia Train Station --[Bogor Line]--&gt; Cawang --[Jalan Kaki (Integrasi)]--&gt; Cikoko --[Cibubur Line]--&gt; Pancoran --[Jalan Kaki (Integrasi)]--&gt; Pancoran Arah Barat --[9]--&gt; Tegal Parang Arah Barat --[Jalan Kaki (Integrasi)]--&gt; Tegal Mampang --[6V]--&gt; Kejaksaan Agung --[Jalan Kaki (Selesai)]--&gt; End: Blok M</t>
  </si>
  <si>
    <t>Start: UI --[TJ D11]--&gt; Cawang --[Jalan Kaki (Integrasi)]--&gt; Cikoko Arah Barat --[9]--&gt; Pancoran Arah Barat --[13B]--&gt; CSW 1 --[Jalan Kaki (Selesai)]--&gt; End: Blok M</t>
  </si>
  <si>
    <t>Start: UI --[TJ D11]--&gt; Cawang --[Jalan Kaki (Integrasi)]--&gt; Cikoko Arah Barat --[9]--&gt; Pancoran Arah Barat --[9D]--&gt; Tegal Parang 1 --[Jalan Kaki (Integrasi)]--&gt; Tegal Mampang --[6V]--&gt; Kejaksaan Agung --[Jalan Kaki (Selesai)]--&gt; End: Blok M</t>
  </si>
  <si>
    <t>Start: UI --[TJ D11]--&gt; Cawang --[Jalan Kaki (Integrasi)]--&gt; Cikoko Arah Barat --[9]--&gt; Pancoran Arah Barat --[9D]--&gt; Tegal Parang 1 --[Jalan Kaki (Integrasi)]--&gt; Tegal Mampang --[7B]--&gt; Blok M Jalur 2 --[Jalan Kaki (Selesai)]--&gt; End: Blok M</t>
  </si>
  <si>
    <t>Start: UI --[TJ D11]--&gt; Cawang --[Jalan Kaki (Integrasi)]--&gt; Cikoko Arah Barat --[9]--&gt; Pancoran Arah Barat --[4K]--&gt; Kejaksaan Agung --[Jalan Kaki (Selesai)]--&gt; End: Blok M</t>
  </si>
  <si>
    <t>Start: UI --[TJ D11]--&gt; Cawang --[Jalan Kaki (Integrasi)]--&gt; Cikoko Arah Barat --[9]--&gt; Pancoran Arah Barat --[9]--&gt; Tegal Parang Arah Barat --[Jalan Kaki (Integrasi)]--&gt; Tegal Mampang --[6V]--&gt; Kejaksaan Agung --[Jalan Kaki (Selesai)]--&gt; End: Blok M</t>
  </si>
  <si>
    <t>Start: UI --[TJ D11]--&gt; Cawang --[Jalan Kaki (Integrasi)]--&gt; Cikoko Arah Barat --[9]--&gt; Pancoran Arah Barat --[9]--&gt; Tegal Parang Arah Barat --[Jalan Kaki (Integrasi)]--&gt; Tegal Mampang --[7B]--&gt; Blok M Jalur 2 --[Jalan Kaki (Selesai)]--&gt; End: Blok M</t>
  </si>
  <si>
    <t>Start: UI --[TJ D11]--&gt; Cawang --[Jalan Kaki (Integrasi)]--&gt; Cikoko Arah Barat --[9]--&gt; Pancoran Arah Barat --[9C]--&gt; Senayan Bank Jakarta --[1]--&gt; Blok M --[Jalan Kaki (Selesai)]--&gt; End: Blok M</t>
  </si>
  <si>
    <t>Start: UI --[TJ D11]--&gt; Cawang --[Jalan Kaki (Integrasi)]--&gt; Cikoko Arah Barat --[9]--&gt; Tegal Parang Arah Barat --[Jalan Kaki (Integrasi)]--&gt; Tegal Mampang --[6V]--&gt; Kejaksaan Agung --[Jalan Kaki (Selesai)]--&gt; End: Blok M</t>
  </si>
  <si>
    <t>Start: UI --[TJ D11]--&gt; Cawang --[Jalan Kaki (Integrasi)]--&gt; Cikoko Arah Barat --[9]--&gt; Tegal Parang Arah Barat --[Jalan Kaki (Integrasi)]--&gt; Tegal Mampang --[7B]--&gt; Blok M Jalur 2 --[Jalan Kaki (Selesai)]--&gt; End: Blok M</t>
  </si>
  <si>
    <t>Start: UI --[TJ D11]--&gt; Cawang --[Jalan Kaki (Integrasi)]--&gt; Cikoko Arah Barat --[9C]--&gt; Senayan Bank Jakarta --[1]--&gt; Blok M --[Jalan Kaki (Selesai)]--&gt; End: Blok M</t>
  </si>
  <si>
    <t>Start: UI --[TJ D11]--&gt; Cawang --[Jalan Kaki (Integrasi)]--&gt; Cikoko Arah Barat --[9C]--&gt; Bundaran Senayan --[1]--&gt; Blok M --[Jalan Kaki (Selesai)]--&gt; End: Blok M</t>
  </si>
  <si>
    <t>Start: UI --[TJ D11]--&gt; Cawang --[Jalan Kaki (Integrasi)]--&gt; Cikoko Arah Barat --[4K]--&gt; Kejaksaan Agung --[Jalan Kaki (Selesai)]--&gt; End: Blok M</t>
  </si>
  <si>
    <t>Start: UI --[TJ D11]--&gt; Cawang --[Jalan Kaki (Integrasi)]--&gt; Cikoko Arah Barat --[9]--&gt; Simpang Kuningan --[Jalan Kaki (Integrasi)]--&gt; Hotel Maharadja --[6U]--&gt; Blok M Jalur 3 --[Jalan Kaki (Selesai)]--&gt; End: Blok M</t>
  </si>
  <si>
    <t>Rute-59</t>
  </si>
  <si>
    <t>Start: UI --[TJ D11]--&gt; Cawang --[Bogor Line]--&gt; Manggarai --[Cikarang Line]--&gt; Sudirman --[Jalan Kaki (Integrasi)]--&gt; Stasiun Sudirman --[AC52A]--&gt; Komdak 2 --[Jalan Kaki (Integrasi)]--&gt; Komdak 1 --[Bogor - Blok M]--&gt; Terminal Blok M --[Jalan Kaki (Selesai)]--&gt; End: Blok M</t>
  </si>
  <si>
    <t>Rute-60</t>
  </si>
  <si>
    <t>Start: UI --[TJ D11]--&gt; Cawang --[Bogor Line]--&gt; Manggarai --[Cikarang Line]--&gt; Sudirman --[Jalan Kaki (Integrasi)]--&gt; Dukuh Atas BNI --[Bundaran HI - Lebak Bulus]--&gt; Blok M BCA --[Jalan Kaki (Selesai)]--&gt; End: Blok M</t>
  </si>
  <si>
    <t>Rute-61</t>
  </si>
  <si>
    <t>Start: UI --[TJ D11]--&gt; Cawang --[Bogor Line]--&gt; Manggarai --[Cikarang Line]--&gt; Sudirman --[Jalan Kaki (Integrasi)]--&gt; Dukuh Atas --[1]--&gt; Bundaran Senayan --[1]--&gt; Blok M --[Jalan Kaki (Selesai)]--&gt; End: Blok M</t>
  </si>
  <si>
    <t>Rute-62</t>
  </si>
  <si>
    <t>Start: UI --[TJ D11]--&gt; Cawang --[Bogor Line]--&gt; Manggarai --[Cikarang Line]--&gt; Sudirman --[Jalan Kaki (Integrasi)]--&gt; Dukuh Atas --[1]--&gt; Blok M --[Jalan Kaki (Selesai)]--&gt; End: Blok M</t>
  </si>
  <si>
    <t>Rute-63</t>
  </si>
  <si>
    <t>Start: UI --[TJ D11]--&gt; Cawang --[Bogor Line]--&gt; Manggarai --[4]--&gt; Galunggung --[Jalan Kaki (Integrasi)]--&gt; Dukuh Atas --[1]--&gt; Bundaran Senayan --[1]--&gt; Blok M --[Jalan Kaki (Selesai)]--&gt; End: Blok M</t>
  </si>
  <si>
    <t>Rute-64</t>
  </si>
  <si>
    <t>Start: UI --[TJ D11]--&gt; Cawang --[Bogor Line]--&gt; Manggarai --[4]--&gt; Galunggung --[Jalan Kaki (Integrasi)]--&gt; Dukuh Atas --[1]--&gt; Blok M --[Jalan Kaki (Selesai)]--&gt; End: Blok M</t>
  </si>
  <si>
    <t>Start: UI --[TJ D11]--&gt; Cawang --[Jalan Kaki (Integrasi)]--&gt; Cikoko --[Cibubur Line]--&gt; Pancoran --[Jalan Kaki (Integrasi)]--&gt; Pancoran Arah Barat --[13B]--&gt; CSW 1 --[Jalan Kaki (Selesai)]--&gt; End: Blok M</t>
  </si>
  <si>
    <t>Start: UI --[TJ D11]--&gt; Cawang --[Jalan Kaki (Integrasi)]--&gt; Cikoko --[Cibubur Line]--&gt; Pancoran --[Jalan Kaki (Integrasi)]--&gt; Pancoran Arah Barat --[9D]--&gt; Tegal Parang 1 --[Jalan Kaki (Integrasi)]--&gt; Tegal Mampang --[6V]--&gt; Kejaksaan Agung --[Jalan Kaki (Selesai)]--&gt; End: Blok M</t>
  </si>
  <si>
    <t>Start: UI --[TJ D11]--&gt; Cawang --[Jalan Kaki (Integrasi)]--&gt; Cikoko --[Cibubur Line]--&gt; Pancoran --[Jalan Kaki (Integrasi)]--&gt; Pancoran Arah Barat --[9D]--&gt; Tegal Parang 1 --[Jalan Kaki (Integrasi)]--&gt; Tegal Mampang --[7B]--&gt; Blok M Jalur 2 --[Jalan Kaki (Selesai)]--&gt; End: Blok M</t>
  </si>
  <si>
    <t>Pasar Minggu</t>
  </si>
  <si>
    <t>Terminal Pasar Minggu</t>
  </si>
  <si>
    <t>Start: UI --[TJ D11]--&gt; Cawang --[Jalan Kaki (Integrasi)]--&gt; Cikoko --[Cibubur Line]--&gt; Pancoran --[Jalan Kaki (Integrasi)]--&gt; Pancoran Arah Barat --[4K]--&gt; Kejaksaan Agung --[Jalan Kaki (Selesai)]--&gt; End: Blok M</t>
  </si>
  <si>
    <t>Start: UI --[TJ D11]--&gt; Cawang --[Jalan Kaki (Integrasi)]--&gt; Cikoko --[Cibubur Line]--&gt; Pancoran --[Jalan Kaki (Integrasi)]--&gt; Pancoran Arah Barat --[9]--&gt; Tegal Parang Arah Barat --[Jalan Kaki (Integrasi)]--&gt; Tegal Mampang --[6V]--&gt; Kejaksaan Agung --[Jalan Kaki (Selesai)]--&gt; End: Blok M</t>
  </si>
  <si>
    <t>Start: UI --[TJ D11]--&gt; Cawang --[Jalan Kaki (Integrasi)]--&gt; Cikoko --[Cibubur Line]--&gt; Pancoran --[Jalan Kaki (Integrasi)]--&gt; Pancoran Arah Barat --[9]--&gt; Tegal Parang Arah Barat --[Jalan Kaki (Integrasi)]--&gt; Tegal Mampang --[7B]--&gt; Blok M Jalur 2 --[Jalan Kaki (Selesai)]--&gt; End: Blok M</t>
  </si>
  <si>
    <t>Start: UI --[TJ D11]--&gt; Cawang --[Jalan Kaki (Integrasi)]--&gt; Cikoko --[Cibubur Line]--&gt; Pancoran --[Jalan Kaki (Integrasi)]--&gt; Pancoran Arah Barat --[9C]--&gt; Senayan Bank Jakarta --[1]--&gt; Blok M --[Jalan Kaki (Selesai)]--&gt; End: Blok M</t>
  </si>
  <si>
    <t>Start: UI -- [TJ 4B]--&gt; Bus Stop Pasar Minggu -- [6T] --&gt; St. MRT Blok A --[Bundaran HI- Lebak Bulus]--&gt; St. MRT Blok M</t>
  </si>
  <si>
    <t>Start: UI --[Jalan Kaki]--&gt;Universitas Indonesia Train Station--[ Bogor Line]--&gt; Pasar Minggu-- [6T] --&gt;St. MRT Blok A --[Bundaran HI- Lebak Bulus]--&gt; St. MRT Blok M</t>
  </si>
  <si>
    <t>Start: UI --[Jalan Kaki]--&gt;Universitas Indonesia Train Station--[ Bogor Line]--&gt; Duren Kalibata --[7Q] --&gt; St. MRT Blok M</t>
  </si>
  <si>
    <t>Start: UI --[Jalan Kaki]--&gt; Universitas Indonesia Train Station --[Bogor Line]--&gt; Cawang --[Jalan Kaki (Integrasi)]--&gt; Cikoko --[LRT]--&gt; Dukuh Atas --[Jalan Kaki (Integrasi)]--&gt; Dukuh Atas --[MRT]--&gt; Blok M --[Jalan Kaki (Selesai)]--&gt; End: Blok M</t>
  </si>
  <si>
    <t>Start: UI -- [TJ 4B]--&gt; St. Manggarai -- [6M] --&gt; Terminal Blok M</t>
  </si>
  <si>
    <t>Start: UI --[Jalan Kaki]--&gt; Universitas Indonesia Train Station --[Bogor Line]--&gt; St. Manggarai -- [6M] --&gt; Terminal Blok M</t>
  </si>
  <si>
    <t>Rute-79</t>
  </si>
  <si>
    <t>Start: UI --[TJ D11]--&gt; Cawang --[Bogor Line]--&gt; Cikini Station --[Jalan Kaki (Integrasi)]--&gt; SMPN 8 --[4C]--&gt; Bundaran Senayan 1 --[1P]--&gt; Blok M Jalur 2 --[Jalan Kaki (Selesai)]--&gt; End: Blok M</t>
  </si>
  <si>
    <t>Rute-80</t>
  </si>
  <si>
    <t>Start: UI --[TJ D11]--&gt; Cawang --[Bogor Line]--&gt; Cikini Station --[Jalan Kaki (Integrasi)]--&gt; SMPN 8 --[4C]--&gt; Bundaran Senayan 1 --[Bogor - Blok M]--&gt; Terminal Blok M --[Jalan Kaki (Selesai)]--&gt; End: Blok M</t>
  </si>
  <si>
    <t>Rute-81</t>
  </si>
  <si>
    <t>Start: UI --[TJ D11]--&gt; Cawang --[Bogor Line]--&gt; Tebet --[Jalan Kaki (Integrasi)]--&gt; Stasiun Tebet --[6D]--&gt; Bundaran Senayan 1 --[1P]--&gt; Blok M Jalur 2 --[Jalan Kaki (Selesai)]--&gt; End: Blok M</t>
  </si>
  <si>
    <t>Rute-82</t>
  </si>
  <si>
    <t>Start: UI --[TJ D11]--&gt; Cawang --[Bogor Line]--&gt; Tebet --[Jalan Kaki (Integrasi)]--&gt; Stasiun Tebet --[6D]--&gt; Bundaran Senayan 1 --[Bogor - Blok M]--&gt; Terminal Blok M --[Jalan Kaki (Selesai)]--&gt; End: Blok M</t>
  </si>
  <si>
    <t>Rute-83</t>
  </si>
  <si>
    <t>Start: UI --[TJ D11]--&gt; Cawang --[Bogor Line]--&gt; Tanjung Barat --[Jalan Kaki (Integrasi)]--&gt; St. Tj. Barat 2 --[D21]--&gt; St. MRT Fatmawati --[Jalan Kaki (Integrasi)]--&gt; Fatmawati Indomaret --[Bundaran HI - Lebak Bulus]--&gt; Blok M BCA --[Jalan Kaki (Selesai)]--&gt; End: Blok M</t>
  </si>
  <si>
    <t>Rute-84</t>
  </si>
  <si>
    <t>Start: UI --[TJ D11]--&gt; Cawang --[Bogor Line]--&gt; Pasar Minggu Station --[Jalan Kaki (Integrasi)]--&gt; Terminal Pasar Minggu --[6T]--&gt; St. MRT Blok A --[Jalan Kaki (Selesai)]--&gt; End: Blok M</t>
  </si>
  <si>
    <t>Bus Stop Pasar Minggu</t>
  </si>
  <si>
    <t>St. MRT Blok A</t>
  </si>
  <si>
    <t>6T</t>
  </si>
  <si>
    <t>Rute-85</t>
  </si>
  <si>
    <t>Start: UI --[TJ D11]--&gt; Cawang --[Bogor Line]--&gt; Duren Kalibata --[7Q]--&gt; St. MRT Blok M --[Jalan Kaki (Selesai)]--&gt; End: Blok M</t>
  </si>
  <si>
    <t>St. MRT Blok M</t>
  </si>
  <si>
    <t>Rute-87</t>
  </si>
  <si>
    <t>Start: UI --[TJ 4B]--&gt; Manggarai --[Bogor Line]--&gt; Cikini Station --[Jalan Kaki (Integrasi)]--&gt; SMPN 8 --[4C]--&gt; Bundaran Senayan 1 --[Bogor - Blok M]--&gt; Terminal Blok M --[Jalan Kaki (Selesai)]--&gt; End: Blok M</t>
  </si>
  <si>
    <t>Rute-88</t>
  </si>
  <si>
    <t>Start: UI --[TJ 4B]--&gt; Manggarai --[Bogor Line]--&gt; Tebet --[Jalan Kaki (Integrasi)]--&gt; Stasiun Tebet --[6D]--&gt; Bundaran Senayan 1 --[1P]--&gt; Blok M Jalur 2 --[Jalan Kaki (Selesai)]--&gt; End: Blok M</t>
  </si>
  <si>
    <t>Rute-89</t>
  </si>
  <si>
    <t>Start: UI --[TJ 4B]--&gt; Manggarai --[Bogor Line]--&gt; Tebet --[Jalan Kaki (Integrasi)]--&gt; Stasiun Tebet --[6D]--&gt; Bundaran Senayan 1 --[Bogor - Blok M]--&gt; Terminal Blok M --[Jalan Kaki (Selesai)]--&gt; End: Blok M</t>
  </si>
  <si>
    <t>Duren Kalibata</t>
  </si>
  <si>
    <t>Rute-90</t>
  </si>
  <si>
    <t>7Q</t>
  </si>
  <si>
    <t>Start: UI --[TJ 4B]--&gt; Manggarai --[Bogor Line]--&gt; Tanjung Barat --[Jalan Kaki (Integrasi)]--&gt; St. Tj. Barat 2 --[D21]--&gt; St. MRT Fatmawati --[Jalan Kaki (Integrasi)]--&gt; Fatmawati Indomaret --[Bundaran HI - Lebak Bulus]--&gt; Blok M BCA --[Jalan Kaki (Selesai)]--&gt; End: Blok M</t>
  </si>
  <si>
    <t>Rute-91</t>
  </si>
  <si>
    <t>Start: UI --[TJ 4B]--&gt; Manggarai --[Bogor Line]--&gt; Pasar Minggu Station --[Jalan Kaki (Integrasi)]--&gt; Terminal Pasar Minggu --[6T]--&gt; St. MRT Blok A --[Lebak Bulus - Bundaran HI]--&gt; End: Blok M</t>
  </si>
  <si>
    <t>Rute-92</t>
  </si>
  <si>
    <t>Start: UI --[TJ 4B]--&gt; Manggarai --[Bogor Line]--&gt; Duren Kalibata --[7Q]--&gt; St. MRT Blok M --[Jalan Kaki (Selesai)]--&gt; End: Blok M</t>
  </si>
  <si>
    <t>St. Manggarai</t>
  </si>
  <si>
    <t>6M</t>
  </si>
  <si>
    <t>Titik 1</t>
  </si>
  <si>
    <t>Moda 1</t>
  </si>
  <si>
    <t>Harga 1</t>
  </si>
  <si>
    <t>Titik 2</t>
  </si>
  <si>
    <t>Moda 2</t>
  </si>
  <si>
    <t>Harga 2</t>
  </si>
  <si>
    <t>Titik 3</t>
  </si>
  <si>
    <t>Moda 3</t>
  </si>
  <si>
    <t>Harga 3</t>
  </si>
  <si>
    <t>Titik 4</t>
  </si>
  <si>
    <t>Moda 4</t>
  </si>
  <si>
    <t>Harga 4</t>
  </si>
  <si>
    <t>Titik 5</t>
  </si>
  <si>
    <t>Moda 5</t>
  </si>
  <si>
    <t>harga 5</t>
  </si>
  <si>
    <t>Titik 6</t>
  </si>
  <si>
    <t>Moda 6</t>
  </si>
  <si>
    <t>Harga 6</t>
  </si>
  <si>
    <t>Titik 7</t>
  </si>
  <si>
    <t>Moda 7</t>
  </si>
  <si>
    <t>Harga 7</t>
  </si>
  <si>
    <t>Titik 8</t>
  </si>
  <si>
    <t>Moda 8</t>
  </si>
  <si>
    <t>Harga 8</t>
  </si>
  <si>
    <t>Titik 9</t>
  </si>
  <si>
    <t>Titik 10</t>
  </si>
  <si>
    <t>Column 29</t>
  </si>
  <si>
    <t>Column 30</t>
  </si>
  <si>
    <t>Column 31</t>
  </si>
  <si>
    <t>Column 32</t>
  </si>
  <si>
    <t>Column 33</t>
  </si>
  <si>
    <t>Column 34</t>
  </si>
  <si>
    <t>Column 35</t>
  </si>
  <si>
    <t>Column 36</t>
  </si>
  <si>
    <t>Total Harga</t>
  </si>
  <si>
    <t>from</t>
  </si>
  <si>
    <t>to</t>
  </si>
  <si>
    <t>currency</t>
  </si>
  <si>
    <t>status</t>
  </si>
  <si>
    <t>IDR</t>
  </si>
  <si>
    <t>OK</t>
  </si>
  <si>
    <t>Pasar Minggu-- [6T] --&gt; St. MRT Blok A --&gt; St. MRT Blok M</t>
  </si>
  <si>
    <t>Duren Kalibata-- Jalan kaki(Integrasi) --&gt; [7Q] --&gt; St. MRT Blok M</t>
  </si>
  <si>
    <t>St. Manggarai -- [6M] --&gt; Terminal Blok M</t>
  </si>
  <si>
    <t>[7Q]--&gt; St. MRT Blok M</t>
  </si>
  <si>
    <t>Total</t>
  </si>
  <si>
    <t>Rata-Rata</t>
  </si>
  <si>
    <t>wait timing</t>
  </si>
  <si>
    <t>total</t>
  </si>
  <si>
    <t>Start: UI -- [TJ 4B]--&gt; Bus Stop Pasar Minggu -- [Jalan kaki(Integrasi) --&gt; [6T] --&gt; St. MRT Blok A --&gt; St. MRT Blok M</t>
  </si>
  <si>
    <t>Start: UI --[Jalan Kaki]--&gt;Universitas Indonesia Train Station--[ Bogor Line]--&gt; Pasar Minggu-- Jalan kaki(Integrasi) --&gt; [6T] --&gt; St. MRT Blok A --&gt; St. MRT Blok M</t>
  </si>
  <si>
    <t>Start: UI --[Jalan Kaki]--&gt;Universitas Indonesia Train Station--[ Bogor Line]--&gt; Duren Kalibata-- Jalan kaki(Integrasi) --&gt; [7Q] --&gt; St. MRT Blok M</t>
  </si>
  <si>
    <t>Start: UI -- [TJ 4B]--&gt; Bus Stop Pasar Minggu -- [Jalan kaki(Integrasi) --&gt; [6u] --&gt; Terminal Blok M</t>
  </si>
  <si>
    <t>Start: UI -- [KRL]--&gt; St. Manggarai -- [6M] --&gt; Terminal Blok M</t>
  </si>
  <si>
    <t>Start: UI --[TJ D11]--&gt; Cawang --[Bogor Line]--&gt; Duren Kalibata --[Jalan Kaki (Integrasi)]--&gt; [7Q]--&gt; St. MRT Blok M --[Jalan Kaki (Selesai)]--&gt; End: Blok M</t>
  </si>
  <si>
    <t>Start: UI --[TJ 4B]--&gt; Manggarai --[Bogor Line]--&gt; Pasar Minggu Station --[Jalan Kaki (Integrasi)]--&gt; Terminal Pasar Minggu --[6T]--&gt; St. MRT Blok A --[Jalan Kaki (Selesai)]--&gt; End: Blok M</t>
  </si>
  <si>
    <t>Start: UI --[TJ 4B]--&gt; Manggarai --[Bogor Line]--&gt; Duren Kalibata --[Jalan Kaki (Integrasi)]--&gt; [7Q]--&gt; St. MRT Blok M --[Jalan Kaki (Selesai)]--&gt; End: Blok M</t>
  </si>
  <si>
    <t>Stasiun Sudirman</t>
  </si>
  <si>
    <t>AC52A</t>
  </si>
  <si>
    <t>Komdak 2</t>
  </si>
  <si>
    <t>Komdak 1</t>
  </si>
  <si>
    <t>leg_number</t>
  </si>
  <si>
    <t>leg_mode</t>
  </si>
  <si>
    <t>leg_fare</t>
  </si>
  <si>
    <t>TRANSJAKARTA</t>
  </si>
  <si>
    <t>KRL</t>
  </si>
  <si>
    <t>WALKING</t>
  </si>
  <si>
    <t>MRT</t>
  </si>
  <si>
    <t>Moda 9</t>
  </si>
  <si>
    <t xml:space="preserve">St. MRT Blok A </t>
  </si>
  <si>
    <t>LRT</t>
  </si>
  <si>
    <t>Tendean</t>
  </si>
  <si>
    <t>Rawa Barat</t>
  </si>
  <si>
    <t>13C</t>
  </si>
  <si>
    <t>13D</t>
  </si>
  <si>
    <t>L13E</t>
  </si>
  <si>
    <t>Kebon Sirih</t>
  </si>
  <si>
    <t>Gelora Bung Karno</t>
  </si>
  <si>
    <t>GBK</t>
  </si>
  <si>
    <t>Polda Metro Jaya</t>
  </si>
  <si>
    <t>Tosari</t>
  </si>
  <si>
    <t>Bundaran HI</t>
  </si>
  <si>
    <t xml:space="preserve">Pancoran </t>
  </si>
  <si>
    <t>MH Thamrin</t>
  </si>
  <si>
    <t>Senayan Bank DKI</t>
  </si>
  <si>
    <t>Monumen Nasional</t>
  </si>
  <si>
    <t>Masjid Agung</t>
  </si>
  <si>
    <t>Karet Sudirman</t>
  </si>
  <si>
    <t>Matraman</t>
  </si>
  <si>
    <t>Matraman Baru</t>
  </si>
  <si>
    <t>5C</t>
  </si>
  <si>
    <t>PGC</t>
  </si>
  <si>
    <t>BKN</t>
  </si>
  <si>
    <t>6B</t>
  </si>
  <si>
    <t>4B</t>
  </si>
  <si>
    <t>Pasar Minggu Station</t>
  </si>
  <si>
    <t xml:space="preserve"> St. MRT Blok M</t>
  </si>
  <si>
    <t>Gambar Graf :</t>
  </si>
  <si>
    <t>1N</t>
  </si>
  <si>
    <t>B11</t>
  </si>
  <si>
    <t>JRC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</si>
</sst>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Calibri"/>
    </font>
    <font>
      <b/>
      <sz val="11.0"/>
      <color theme="1"/>
      <name val="Calibri"/>
    </font>
    <font>
      <sz val="11.0"/>
      <color theme="1"/>
      <name val="Calibri"/>
    </font>
    <font>
      <color theme="1"/>
      <name val="Arial"/>
      <scheme val="minor"/>
    </font>
    <font>
      <b/>
      <sz val="11.0"/>
      <color rgb="FFFFFFFF"/>
      <name val="Arial"/>
      <scheme val="minor"/>
    </font>
    <font>
      <b/>
      <sz val="10.0"/>
      <color rgb="FF202124"/>
      <name val="Arial"/>
      <scheme val="minor"/>
    </font>
    <font>
      <sz val="10.0"/>
      <color rgb="FF202124"/>
      <name val="Arial"/>
      <scheme val="minor"/>
    </font>
    <font>
      <color theme="1"/>
      <name val="Arial"/>
    </font>
    <font>
      <sz val="14.0"/>
      <color theme="1"/>
      <name val="Arial"/>
      <scheme val="minor"/>
    </font>
  </fonts>
  <fills count="8">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
      <patternFill patternType="solid">
        <fgColor rgb="FF1A73E8"/>
        <bgColor rgb="FF1A73E8"/>
      </patternFill>
    </fill>
    <fill>
      <patternFill patternType="solid">
        <fgColor rgb="FFE8F0FE"/>
        <bgColor rgb="FFE8F0FE"/>
      </patternFill>
    </fill>
    <fill>
      <patternFill patternType="solid">
        <fgColor rgb="FFF8F9FA"/>
        <bgColor rgb="FFF8F9FA"/>
      </patternFill>
    </fill>
  </fills>
  <borders count="6">
    <border/>
    <border>
      <left style="thin">
        <color rgb="FF000000"/>
      </left>
      <right style="thin">
        <color rgb="FF000000"/>
      </right>
      <top style="thin">
        <color rgb="FF000000"/>
      </top>
      <bottom style="thin">
        <color rgb="FF000000"/>
      </bottom>
    </border>
    <border>
      <left style="thin">
        <color rgb="FFDADCE0"/>
      </left>
      <right style="thin">
        <color rgb="FFDADCE0"/>
      </right>
      <top style="thin">
        <color rgb="FFDADCE0"/>
      </top>
      <bottom style="medium">
        <color rgb="FF1A73E8"/>
      </bottom>
    </border>
    <border>
      <left style="thin">
        <color rgb="FFDADCE0"/>
      </left>
      <right style="thin">
        <color rgb="FFDADCE0"/>
      </right>
      <bottom style="thin">
        <color rgb="FFDADCE0"/>
      </bottom>
    </border>
    <border>
      <left style="thin">
        <color rgb="FFDADCE0"/>
      </left>
      <right style="thin">
        <color rgb="FFDADCE0"/>
      </right>
      <top style="thin">
        <color rgb="FFDADCE0"/>
      </top>
      <bottom style="thin">
        <color rgb="FFDADCE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0" fontId="2" numFmtId="0" xfId="0" applyAlignment="1" applyBorder="1" applyFont="1">
      <alignment horizontal="center" readingOrder="0" shrinkToFit="0" vertical="top" wrapText="0"/>
    </xf>
    <xf borderId="0" fillId="0" fontId="3" numFmtId="0" xfId="0" applyFont="1"/>
    <xf borderId="1" fillId="0" fontId="2" numFmtId="0" xfId="0" applyAlignment="1" applyBorder="1" applyFont="1">
      <alignment readingOrder="0"/>
    </xf>
    <xf borderId="0" fillId="0" fontId="3" numFmtId="0" xfId="0" applyAlignment="1" applyFont="1">
      <alignment readingOrder="0"/>
    </xf>
    <xf borderId="1" fillId="0" fontId="1" numFmtId="0" xfId="0" applyAlignment="1" applyBorder="1" applyFont="1">
      <alignment readingOrder="0" shrinkToFit="0" vertical="bottom" wrapText="0"/>
    </xf>
    <xf borderId="0" fillId="2" fontId="1" numFmtId="0" xfId="0" applyAlignment="1" applyFill="1" applyFont="1">
      <alignment readingOrder="0" shrinkToFit="0" vertical="bottom" wrapText="0"/>
    </xf>
    <xf borderId="0" fillId="0" fontId="1" numFmtId="0" xfId="0" applyAlignment="1" applyFont="1">
      <alignment readingOrder="0" shrinkToFit="0" vertical="bottom" wrapText="0"/>
    </xf>
    <xf borderId="1" fillId="0" fontId="1" numFmtId="0" xfId="0" applyAlignment="1" applyBorder="1" applyFont="1">
      <alignment horizontal="right" readingOrder="0" shrinkToFit="0" vertical="bottom" wrapText="0"/>
    </xf>
    <xf borderId="0" fillId="0" fontId="1" numFmtId="0" xfId="0" applyAlignment="1" applyFont="1">
      <alignment horizontal="right" readingOrder="0" shrinkToFit="0" vertical="bottom" wrapText="0"/>
    </xf>
    <xf borderId="1" fillId="0" fontId="1" numFmtId="0" xfId="0" applyAlignment="1" applyBorder="1" applyFont="1">
      <alignment shrinkToFit="0" vertical="bottom" wrapText="0"/>
    </xf>
    <xf borderId="0" fillId="0" fontId="1" numFmtId="0" xfId="0" applyAlignment="1" applyFont="1">
      <alignment shrinkToFit="0" vertical="bottom" wrapText="0"/>
    </xf>
    <xf borderId="1" fillId="0" fontId="1" numFmtId="0" xfId="0" applyAlignment="1" applyBorder="1" applyFont="1">
      <alignment horizontal="right" readingOrder="0" shrinkToFit="0" vertical="bottom" wrapText="0"/>
    </xf>
    <xf borderId="0" fillId="0" fontId="1" numFmtId="0" xfId="0" applyAlignment="1" applyFont="1">
      <alignment shrinkToFit="0" vertical="bottom" wrapText="0"/>
    </xf>
    <xf borderId="1" fillId="0" fontId="3" numFmtId="0" xfId="0" applyBorder="1" applyFont="1"/>
    <xf borderId="0" fillId="0" fontId="4" numFmtId="0" xfId="0" applyAlignment="1" applyFont="1">
      <alignment readingOrder="0"/>
    </xf>
    <xf borderId="0" fillId="2" fontId="3" numFmtId="0" xfId="0" applyAlignment="1" applyFill="1" applyFont="1">
      <alignment readingOrder="0"/>
    </xf>
    <xf borderId="1" fillId="0" fontId="4" numFmtId="0" xfId="0" applyAlignment="1" applyBorder="1" applyFont="1">
      <alignment readingOrder="0"/>
    </xf>
    <xf borderId="1" fillId="0" fontId="4" numFmtId="0" xfId="0" applyBorder="1" applyFont="1"/>
    <xf borderId="1" fillId="0" fontId="3" numFmtId="0" xfId="0" applyAlignment="1" applyBorder="1" applyFont="1">
      <alignment horizontal="center"/>
    </xf>
    <xf borderId="0" fillId="0" fontId="4" numFmtId="0" xfId="0" applyFont="1"/>
    <xf borderId="0" fillId="0" fontId="3" numFmtId="0" xfId="0" applyAlignment="1" applyFont="1">
      <alignment horizontal="center" readingOrder="0" shrinkToFit="0" vertical="center" wrapText="1"/>
    </xf>
    <xf borderId="0" fillId="0" fontId="3" numFmtId="49" xfId="0" applyAlignment="1" applyFont="1" applyNumberFormat="1">
      <alignment horizontal="center" readingOrder="0" shrinkToFit="0" vertical="center" wrapText="1"/>
    </xf>
    <xf borderId="0" fillId="3" fontId="3"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4" fontId="1" numFmtId="0" xfId="0" applyAlignment="1" applyFill="1" applyFont="1">
      <alignment horizontal="center" readingOrder="0" shrinkToFit="0" vertical="center" wrapText="1"/>
    </xf>
    <xf borderId="0" fillId="2" fontId="1" numFmtId="0" xfId="0" applyAlignment="1" applyFill="1" applyFont="1">
      <alignment readingOrder="0" shrinkToFit="0" vertical="bottom" wrapText="0"/>
    </xf>
    <xf borderId="0" fillId="4" fontId="1" numFmtId="0" xfId="0" applyAlignment="1" applyFill="1" applyFont="1">
      <alignment horizontal="center" shrinkToFit="0" vertical="center" wrapText="1"/>
    </xf>
    <xf borderId="0" fillId="2" fontId="1" numFmtId="0" xfId="0" applyAlignment="1" applyFill="1" applyFont="1">
      <alignment horizontal="right" readingOrder="0" shrinkToFit="0" vertical="bottom" wrapText="0"/>
    </xf>
    <xf borderId="0" fillId="3" fontId="1"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2" fontId="1" numFmtId="0" xfId="0" applyAlignment="1" applyFill="1" applyFont="1">
      <alignment horizontal="center" shrinkToFit="0" vertical="center" wrapText="1"/>
    </xf>
    <xf borderId="0" fillId="2" fontId="4" numFmtId="0" xfId="0" applyAlignment="1" applyFill="1" applyFont="1">
      <alignment horizontal="center" shrinkToFit="0" vertical="center" wrapText="1"/>
    </xf>
    <xf borderId="0" fillId="0" fontId="4" numFmtId="0" xfId="0" applyAlignment="1" applyFont="1">
      <alignment horizontal="left" readingOrder="0" shrinkToFit="0" vertical="center" wrapText="1"/>
    </xf>
    <xf borderId="0" fillId="0" fontId="4"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horizontal="center" readingOrder="0" shrinkToFit="0" vertical="center" wrapText="0"/>
    </xf>
    <xf borderId="0" fillId="2" fontId="4" numFmtId="0" xfId="0" applyAlignment="1" applyFill="1" applyFont="1">
      <alignment horizontal="center" readingOrder="0" shrinkToFit="0" vertical="center" wrapText="0"/>
    </xf>
    <xf borderId="2" fillId="5" fontId="5" numFmtId="0" xfId="0" applyAlignment="1" applyBorder="1" applyFill="1" applyFont="1">
      <alignment horizontal="center" readingOrder="0" shrinkToFit="0" vertical="center" wrapText="0"/>
    </xf>
    <xf borderId="3" fillId="6" fontId="6" numFmtId="0" xfId="0" applyAlignment="1" applyBorder="1" applyFill="1" applyFont="1">
      <alignment horizontal="center" shrinkToFit="0" vertical="center" wrapText="1"/>
    </xf>
    <xf borderId="3" fillId="7" fontId="7" numFmtId="0" xfId="0" applyAlignment="1" applyBorder="1" applyFill="1" applyFont="1">
      <alignment horizontal="center" shrinkToFit="0" vertical="center" wrapText="1"/>
    </xf>
    <xf borderId="3" fillId="7" fontId="7" numFmtId="0" xfId="0" applyAlignment="1" applyBorder="1" applyFill="1" applyFont="1">
      <alignment shrinkToFit="0" vertical="center" wrapText="1"/>
    </xf>
    <xf borderId="4" fillId="6" fontId="6" numFmtId="0" xfId="0" applyAlignment="1" applyBorder="1" applyFill="1" applyFont="1">
      <alignment horizontal="center" shrinkToFit="0" vertical="center" wrapText="1"/>
    </xf>
    <xf borderId="4" fillId="3" fontId="7" numFmtId="0" xfId="0" applyAlignment="1" applyBorder="1" applyFill="1" applyFont="1">
      <alignment horizontal="center" shrinkToFit="0" vertical="center" wrapText="1"/>
    </xf>
    <xf borderId="4" fillId="3" fontId="7" numFmtId="0" xfId="0" applyAlignment="1" applyBorder="1" applyFill="1" applyFont="1">
      <alignment shrinkToFit="0" vertical="center" wrapText="1"/>
    </xf>
    <xf borderId="4" fillId="7" fontId="7" numFmtId="0" xfId="0" applyAlignment="1" applyBorder="1" applyFill="1" applyFont="1">
      <alignment horizontal="center" shrinkToFit="0" vertical="center" wrapText="1"/>
    </xf>
    <xf borderId="4" fillId="7" fontId="7" numFmtId="0" xfId="0" applyAlignment="1" applyBorder="1" applyFill="1" applyFont="1">
      <alignment shrinkToFit="0" vertical="center" wrapText="1"/>
    </xf>
    <xf borderId="5" fillId="3" fontId="3" numFmtId="0" xfId="0" applyAlignment="1" applyBorder="1" applyFill="1" applyFont="1">
      <alignment horizontal="center" shrinkToFit="0" vertical="center" wrapText="1"/>
    </xf>
    <xf borderId="5" fillId="3" fontId="8" numFmtId="0" xfId="0" applyAlignment="1" applyBorder="1" applyFill="1" applyFont="1">
      <alignment shrinkToFit="0" vertical="center" wrapText="0"/>
    </xf>
    <xf borderId="5" fillId="3" fontId="3" numFmtId="0" xfId="0" applyAlignment="1" applyBorder="1" applyFill="1" applyFont="1">
      <alignment horizontal="center" shrinkToFit="0" vertical="center" wrapText="1"/>
    </xf>
    <xf borderId="5" fillId="3" fontId="8" numFmtId="0" xfId="0" applyAlignment="1" applyBorder="1" applyFill="1" applyFont="1">
      <alignment shrinkToFit="0" vertical="center" wrapText="0"/>
    </xf>
    <xf borderId="0" fillId="0" fontId="4" numFmtId="0" xfId="0" applyAlignment="1" applyFont="1">
      <alignment horizontal="center" readingOrder="0" shrinkToFit="0" vertical="center" wrapText="1"/>
    </xf>
    <xf borderId="0" fillId="2" fontId="4" numFmtId="0" xfId="0" applyAlignment="1" applyFill="1" applyFont="1">
      <alignment horizontal="center" readingOrder="0" shrinkToFit="0" vertical="center" wrapText="1"/>
    </xf>
    <xf borderId="0" fillId="3" fontId="4" numFmtId="0" xfId="0" applyAlignment="1" applyFill="1" applyFont="1">
      <alignment horizontal="center" shrinkToFit="0" vertical="center" wrapText="1"/>
    </xf>
    <xf borderId="0" fillId="0" fontId="9" numFmtId="0" xfId="0" applyAlignment="1" applyFon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3">
    <tableStyle count="4" pivot="0" name="Rute Tabel-style">
      <tableStyleElement dxfId="1" type="headerRow"/>
      <tableStyleElement dxfId="2" type="firstRowStripe"/>
      <tableStyleElement dxfId="3" type="secondRowStripe"/>
      <tableStyleElement dxfId="4" size="0" type="wholeTable"/>
    </tableStyle>
    <tableStyle count="4" pivot="0" name="Sheet3-style">
      <tableStyleElement dxfId="5" type="headerRow"/>
      <tableStyleElement dxfId="2" type="firstRowStripe"/>
      <tableStyleElement dxfId="3" type="secondRowStripe"/>
      <tableStyleElement dxfId="4" size="0" type="wholeTable"/>
    </tableStyle>
    <tableStyle count="4" pivot="0" name="Sheet2-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J93" displayName="Table3" name="Table3" id="1">
  <tableColumns count="36">
    <tableColumn name="ID" id="1"/>
    <tableColumn name="Titik 1" id="2"/>
    <tableColumn name="Moda 1" id="3"/>
    <tableColumn name="Harga 1" id="4"/>
    <tableColumn name="Titik 2" id="5"/>
    <tableColumn name="Moda 2" id="6"/>
    <tableColumn name="Harga 2" id="7"/>
    <tableColumn name="Titik 3" id="8"/>
    <tableColumn name="Moda 3" id="9"/>
    <tableColumn name="Harga 3" id="10"/>
    <tableColumn name="Titik 4" id="11"/>
    <tableColumn name="Moda 4" id="12"/>
    <tableColumn name="Harga 4" id="13"/>
    <tableColumn name="Titik 5" id="14"/>
    <tableColumn name="Moda 5" id="15"/>
    <tableColumn name="harga 5" id="16"/>
    <tableColumn name="Titik 6" id="17"/>
    <tableColumn name="Moda 6" id="18"/>
    <tableColumn name="Harga 6" id="19"/>
    <tableColumn name="Titik 7" id="20"/>
    <tableColumn name="Moda 7" id="21"/>
    <tableColumn name="Harga 7" id="22"/>
    <tableColumn name="Titik 8" id="23"/>
    <tableColumn name="Moda 8" id="24"/>
    <tableColumn name="Harga 8" id="25"/>
    <tableColumn name="Titik 9" id="26"/>
    <tableColumn name="Titik 10" id="27"/>
    <tableColumn name="Column 29" id="28"/>
    <tableColumn name="Column 30" id="29"/>
    <tableColumn name="Column 31" id="30"/>
    <tableColumn name="Column 32" id="31"/>
    <tableColumn name="Column 33" id="32"/>
    <tableColumn name="Column 34" id="33"/>
    <tableColumn name="Column 35" id="34"/>
    <tableColumn name="Column 36" id="35"/>
    <tableColumn name="Total Harga" id="36"/>
  </tableColumns>
  <tableStyleInfo name="Rute Tabel-style" showColumnStripes="0" showFirstColumn="1" showLastColumn="1" showRowStripes="1"/>
</table>
</file>

<file path=xl/tables/table2.xml><?xml version="1.0" encoding="utf-8"?>
<table xmlns="http://schemas.openxmlformats.org/spreadsheetml/2006/main" ref="A1:T93" displayName="Table2" name="Table2" id="2">
  <tableColumns count="20">
    <tableColumn name="ID" id="1"/>
    <tableColumn name="Titik 1" id="2"/>
    <tableColumn name="Moda 1" id="3"/>
    <tableColumn name="Titik 2" id="4"/>
    <tableColumn name="Moda 2" id="5"/>
    <tableColumn name="Titik 3" id="6"/>
    <tableColumn name="Moda 3" id="7"/>
    <tableColumn name="Titik 4" id="8"/>
    <tableColumn name="Moda 4" id="9"/>
    <tableColumn name="Titik 5" id="10"/>
    <tableColumn name="Moda 5" id="11"/>
    <tableColumn name="Titik 6" id="12"/>
    <tableColumn name="Moda 6" id="13"/>
    <tableColumn name="Titik 7" id="14"/>
    <tableColumn name="Moda 7" id="15"/>
    <tableColumn name="Titik 8" id="16"/>
    <tableColumn name="Moda 8" id="17"/>
    <tableColumn name="Titik 9" id="18"/>
    <tableColumn name="Moda 9" id="19"/>
    <tableColumn name="Titik 10" id="20"/>
  </tableColumns>
  <tableStyleInfo name="Sheet3-style" showColumnStripes="0" showFirstColumn="1" showLastColumn="1" showRowStripes="1"/>
</table>
</file>

<file path=xl/tables/table3.xml><?xml version="1.0" encoding="utf-8"?>
<table xmlns="http://schemas.openxmlformats.org/spreadsheetml/2006/main" ref="A1:T93" displayName="Table1" name="Table1" id="3">
  <tableColumns count="20">
    <tableColumn name="ID" id="1"/>
    <tableColumn name="Titik 1" id="2"/>
    <tableColumn name="Moda 1" id="3"/>
    <tableColumn name="Titik 2" id="4"/>
    <tableColumn name="Moda 2" id="5"/>
    <tableColumn name="Titik 3" id="6"/>
    <tableColumn name="Moda 3" id="7"/>
    <tableColumn name="Titik 4" id="8"/>
    <tableColumn name="Moda 4" id="9"/>
    <tableColumn name="Titik 5" id="10"/>
    <tableColumn name="Moda 5" id="11"/>
    <tableColumn name="Titik 6" id="12"/>
    <tableColumn name="Moda 6" id="13"/>
    <tableColumn name="Titik 7" id="14"/>
    <tableColumn name="Moda 7" id="15"/>
    <tableColumn name="Titik 8" id="16"/>
    <tableColumn name="Moda 8" id="17"/>
    <tableColumn name="Titik 9" id="18"/>
    <tableColumn name="Moda 9" id="19"/>
    <tableColumn name="Titik 10" id="20"/>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3"/>
      <c r="D1" s="3"/>
      <c r="E1" s="3"/>
      <c r="F1" s="3"/>
      <c r="G1" s="3"/>
      <c r="H1" s="3"/>
      <c r="I1" s="3"/>
      <c r="J1" s="3"/>
      <c r="K1" s="3"/>
      <c r="L1" s="3"/>
      <c r="M1" s="3"/>
      <c r="N1" s="3"/>
      <c r="O1" s="3"/>
      <c r="P1" s="3"/>
      <c r="Q1" s="3"/>
      <c r="R1" s="3"/>
      <c r="S1" s="3"/>
      <c r="T1" s="3"/>
      <c r="U1" s="3"/>
      <c r="V1" s="3"/>
      <c r="W1" s="3"/>
      <c r="X1" s="3"/>
      <c r="Y1" s="3"/>
      <c r="Z1" s="3"/>
    </row>
    <row r="2">
      <c r="A2" s="1" t="s">
        <v>7</v>
      </c>
      <c r="B2" s="5" t="s">
        <v>8</v>
      </c>
      <c r="C2" s="3"/>
      <c r="D2" s="3"/>
      <c r="E2" s="3"/>
      <c r="F2" s="3"/>
      <c r="G2" s="3"/>
      <c r="H2" s="3"/>
      <c r="I2" s="3"/>
      <c r="J2" s="3"/>
      <c r="K2" s="3"/>
      <c r="L2" s="3"/>
      <c r="M2" s="3"/>
      <c r="N2" s="3"/>
      <c r="O2" s="3"/>
      <c r="P2" s="3"/>
      <c r="Q2" s="3"/>
      <c r="R2" s="3"/>
      <c r="S2" s="3"/>
      <c r="T2" s="3"/>
      <c r="U2" s="3"/>
      <c r="V2" s="3"/>
      <c r="W2" s="3"/>
      <c r="X2" s="3"/>
      <c r="Y2" s="3"/>
      <c r="Z2" s="3"/>
    </row>
    <row r="3">
      <c r="A3" s="1" t="s">
        <v>16</v>
      </c>
      <c r="B3" s="1" t="s">
        <v>18</v>
      </c>
      <c r="C3" s="3"/>
      <c r="D3" s="3"/>
      <c r="E3" s="3"/>
      <c r="F3" s="3"/>
      <c r="G3" s="3"/>
      <c r="H3" s="3"/>
      <c r="I3" s="3"/>
      <c r="J3" s="3"/>
      <c r="K3" s="3"/>
      <c r="L3" s="3"/>
      <c r="M3" s="3"/>
      <c r="N3" s="3"/>
      <c r="O3" s="3"/>
      <c r="P3" s="3"/>
      <c r="Q3" s="3"/>
      <c r="R3" s="3"/>
      <c r="S3" s="3"/>
      <c r="T3" s="3"/>
      <c r="U3" s="3"/>
      <c r="V3" s="3"/>
      <c r="W3" s="3"/>
      <c r="X3" s="3"/>
      <c r="Y3" s="3"/>
      <c r="Z3" s="3"/>
    </row>
    <row r="4">
      <c r="A4" s="7"/>
      <c r="B4" s="7"/>
      <c r="C4" s="3"/>
      <c r="D4" s="3"/>
      <c r="E4" s="3"/>
      <c r="F4" s="3"/>
      <c r="G4" s="3"/>
      <c r="H4" s="3"/>
      <c r="I4" s="3"/>
      <c r="J4" s="3"/>
      <c r="K4" s="3"/>
      <c r="L4" s="3"/>
      <c r="M4" s="3"/>
      <c r="N4" s="3"/>
      <c r="O4" s="3"/>
      <c r="P4" s="3"/>
      <c r="Q4" s="3"/>
      <c r="R4" s="3"/>
      <c r="S4" s="3"/>
      <c r="T4" s="3"/>
      <c r="U4" s="3"/>
      <c r="V4" s="3"/>
      <c r="W4" s="3"/>
      <c r="X4" s="3"/>
      <c r="Y4" s="3"/>
      <c r="Z4" s="3"/>
    </row>
    <row r="5">
      <c r="A5" s="1" t="s">
        <v>23</v>
      </c>
      <c r="B5" s="1" t="s">
        <v>24</v>
      </c>
      <c r="C5" s="3"/>
      <c r="D5" s="3"/>
      <c r="E5" s="3"/>
      <c r="F5" s="3"/>
      <c r="G5" s="3"/>
      <c r="H5" s="3"/>
      <c r="I5" s="3"/>
      <c r="J5" s="3"/>
      <c r="K5" s="3"/>
      <c r="L5" s="3"/>
      <c r="M5" s="3"/>
      <c r="N5" s="3"/>
      <c r="O5" s="3"/>
      <c r="P5" s="3"/>
      <c r="Q5" s="3"/>
      <c r="R5" s="3"/>
      <c r="S5" s="3"/>
      <c r="T5" s="3"/>
      <c r="U5" s="3"/>
      <c r="V5" s="3"/>
      <c r="W5" s="3"/>
      <c r="X5" s="3"/>
      <c r="Y5" s="3"/>
      <c r="Z5" s="3"/>
    </row>
    <row r="6">
      <c r="A6" s="7"/>
      <c r="B6" s="7"/>
      <c r="C6" s="3"/>
      <c r="D6" s="3"/>
      <c r="E6" s="3"/>
      <c r="F6" s="3"/>
      <c r="G6" s="3"/>
      <c r="H6" s="3"/>
      <c r="I6" s="3"/>
      <c r="J6" s="3"/>
      <c r="K6" s="3"/>
      <c r="L6" s="3"/>
      <c r="M6" s="3"/>
      <c r="N6" s="3"/>
      <c r="O6" s="3"/>
      <c r="P6" s="3"/>
      <c r="Q6" s="3"/>
      <c r="R6" s="3"/>
      <c r="S6" s="3"/>
      <c r="T6" s="3"/>
      <c r="U6" s="3"/>
      <c r="V6" s="3"/>
      <c r="W6" s="3"/>
      <c r="X6" s="3"/>
      <c r="Y6" s="3"/>
      <c r="Z6" s="3"/>
    </row>
    <row r="7">
      <c r="A7" s="1" t="s">
        <v>28</v>
      </c>
      <c r="B7" s="1" t="s">
        <v>30</v>
      </c>
      <c r="C7" s="3"/>
      <c r="D7" s="3"/>
      <c r="E7" s="3"/>
      <c r="F7" s="3"/>
      <c r="G7" s="3"/>
      <c r="H7" s="3"/>
      <c r="I7" s="3"/>
      <c r="J7" s="3"/>
      <c r="K7" s="3"/>
      <c r="L7" s="3"/>
      <c r="M7" s="3"/>
      <c r="N7" s="3"/>
      <c r="O7" s="3"/>
      <c r="P7" s="3"/>
      <c r="Q7" s="3"/>
      <c r="R7" s="3"/>
      <c r="S7" s="3"/>
      <c r="T7" s="3"/>
      <c r="U7" s="3"/>
      <c r="V7" s="3"/>
      <c r="W7" s="3"/>
      <c r="X7" s="3"/>
      <c r="Y7" s="3"/>
      <c r="Z7" s="3"/>
    </row>
    <row r="8">
      <c r="A8" s="1" t="s">
        <v>31</v>
      </c>
      <c r="B8" s="1" t="s">
        <v>32</v>
      </c>
      <c r="C8" s="3"/>
      <c r="D8" s="3"/>
      <c r="E8" s="3"/>
      <c r="F8" s="3"/>
      <c r="G8" s="3"/>
      <c r="H8" s="3"/>
      <c r="I8" s="3"/>
      <c r="J8" s="3"/>
      <c r="K8" s="3"/>
      <c r="L8" s="3"/>
      <c r="M8" s="3"/>
      <c r="N8" s="3"/>
      <c r="O8" s="3"/>
      <c r="P8" s="3"/>
      <c r="Q8" s="3"/>
      <c r="R8" s="3"/>
      <c r="S8" s="3"/>
      <c r="T8" s="3"/>
      <c r="U8" s="3"/>
      <c r="V8" s="3"/>
      <c r="W8" s="3"/>
      <c r="X8" s="3"/>
      <c r="Y8" s="3"/>
      <c r="Z8" s="3"/>
    </row>
    <row r="9">
      <c r="A9" s="1" t="s">
        <v>34</v>
      </c>
      <c r="B9" s="1" t="s">
        <v>35</v>
      </c>
      <c r="C9" s="3"/>
      <c r="D9" s="3"/>
      <c r="E9" s="3"/>
      <c r="F9" s="3"/>
      <c r="G9" s="3"/>
      <c r="H9" s="3"/>
      <c r="I9" s="3"/>
      <c r="J9" s="3"/>
      <c r="K9" s="3"/>
      <c r="L9" s="3"/>
      <c r="M9" s="3"/>
      <c r="N9" s="3"/>
      <c r="O9" s="3"/>
      <c r="P9" s="3"/>
      <c r="Q9" s="3"/>
      <c r="R9" s="3"/>
      <c r="S9" s="3"/>
      <c r="T9" s="3"/>
      <c r="U9" s="3"/>
      <c r="V9" s="3"/>
      <c r="W9" s="3"/>
      <c r="X9" s="3"/>
      <c r="Y9" s="3"/>
      <c r="Z9" s="3"/>
    </row>
    <row r="10">
      <c r="A10" s="7"/>
      <c r="B10" s="7"/>
      <c r="C10" s="3"/>
      <c r="D10" s="3"/>
      <c r="E10" s="3"/>
      <c r="F10" s="3"/>
      <c r="G10" s="3"/>
      <c r="H10" s="3"/>
      <c r="I10" s="3"/>
      <c r="J10" s="3"/>
      <c r="K10" s="3"/>
      <c r="L10" s="3"/>
      <c r="M10" s="3"/>
      <c r="N10" s="3"/>
      <c r="O10" s="3"/>
      <c r="P10" s="3"/>
      <c r="Q10" s="3"/>
      <c r="R10" s="3"/>
      <c r="S10" s="3"/>
      <c r="T10" s="3"/>
      <c r="U10" s="3"/>
      <c r="V10" s="3"/>
      <c r="W10" s="3"/>
      <c r="X10" s="3"/>
      <c r="Y10" s="3"/>
      <c r="Z10" s="3"/>
    </row>
    <row r="11">
      <c r="A11" s="7"/>
      <c r="B11" s="7"/>
      <c r="C11" s="3"/>
      <c r="D11" s="3"/>
      <c r="E11" s="3"/>
      <c r="F11" s="3"/>
      <c r="G11" s="3"/>
      <c r="H11" s="3"/>
      <c r="I11" s="3"/>
      <c r="J11" s="3"/>
      <c r="K11" s="3"/>
      <c r="L11" s="3"/>
      <c r="M11" s="3"/>
      <c r="N11" s="3"/>
      <c r="O11" s="3"/>
      <c r="P11" s="3"/>
      <c r="Q11" s="3"/>
      <c r="R11" s="3"/>
      <c r="S11" s="3"/>
      <c r="T11" s="3"/>
      <c r="U11" s="3"/>
      <c r="V11" s="3"/>
      <c r="W11" s="3"/>
      <c r="X11" s="3"/>
      <c r="Y11" s="3"/>
      <c r="Z11" s="3"/>
    </row>
    <row r="12">
      <c r="A12" s="1" t="s">
        <v>41</v>
      </c>
      <c r="B12" s="1" t="s">
        <v>42</v>
      </c>
      <c r="C12" s="3"/>
      <c r="D12" s="3"/>
      <c r="E12" s="3"/>
      <c r="F12" s="3"/>
      <c r="G12" s="3"/>
      <c r="H12" s="3"/>
      <c r="I12" s="3"/>
      <c r="J12" s="3"/>
      <c r="K12" s="3"/>
      <c r="L12" s="3"/>
      <c r="M12" s="3"/>
      <c r="N12" s="3"/>
      <c r="O12" s="3"/>
      <c r="P12" s="3"/>
      <c r="Q12" s="3"/>
      <c r="R12" s="3"/>
      <c r="S12" s="3"/>
      <c r="T12" s="3"/>
      <c r="U12" s="3"/>
      <c r="V12" s="3"/>
      <c r="W12" s="3"/>
      <c r="X12" s="3"/>
      <c r="Y12" s="3"/>
      <c r="Z12" s="3"/>
    </row>
    <row r="13">
      <c r="A13" s="7"/>
      <c r="B13" s="7"/>
      <c r="C13" s="3"/>
      <c r="D13" s="3"/>
      <c r="E13" s="3"/>
      <c r="F13" s="3"/>
      <c r="G13" s="3"/>
      <c r="H13" s="3"/>
      <c r="I13" s="3"/>
      <c r="J13" s="3"/>
      <c r="K13" s="3"/>
      <c r="L13" s="3"/>
      <c r="M13" s="3"/>
      <c r="N13" s="3"/>
      <c r="O13" s="3"/>
      <c r="P13" s="3"/>
      <c r="Q13" s="3"/>
      <c r="R13" s="3"/>
      <c r="S13" s="3"/>
      <c r="T13" s="3"/>
      <c r="U13" s="3"/>
      <c r="V13" s="3"/>
      <c r="W13" s="3"/>
      <c r="X13" s="3"/>
      <c r="Y13" s="3"/>
      <c r="Z13" s="3"/>
    </row>
    <row r="14">
      <c r="A14" s="1" t="s">
        <v>48</v>
      </c>
      <c r="B14" s="1" t="s">
        <v>50</v>
      </c>
      <c r="C14" s="3"/>
      <c r="D14" s="3"/>
      <c r="E14" s="3"/>
      <c r="F14" s="3"/>
      <c r="G14" s="3"/>
      <c r="H14" s="3"/>
      <c r="I14" s="3"/>
      <c r="J14" s="3"/>
      <c r="K14" s="3"/>
      <c r="L14" s="3"/>
      <c r="M14" s="3"/>
      <c r="N14" s="3"/>
      <c r="O14" s="3"/>
      <c r="P14" s="3"/>
      <c r="Q14" s="3"/>
      <c r="R14" s="3"/>
      <c r="S14" s="3"/>
      <c r="T14" s="3"/>
      <c r="U14" s="3"/>
      <c r="V14" s="3"/>
      <c r="W14" s="3"/>
      <c r="X14" s="3"/>
      <c r="Y14" s="3"/>
      <c r="Z14" s="3"/>
    </row>
    <row r="15">
      <c r="A15" s="7"/>
      <c r="B15" s="7"/>
      <c r="C15" s="3"/>
      <c r="D15" s="3"/>
      <c r="E15" s="3"/>
      <c r="F15" s="3"/>
      <c r="G15" s="3"/>
      <c r="H15" s="3"/>
      <c r="I15" s="3"/>
      <c r="J15" s="3"/>
      <c r="K15" s="3"/>
      <c r="L15" s="3"/>
      <c r="M15" s="3"/>
      <c r="N15" s="3"/>
      <c r="O15" s="3"/>
      <c r="P15" s="3"/>
      <c r="Q15" s="3"/>
      <c r="R15" s="3"/>
      <c r="S15" s="3"/>
      <c r="T15" s="3"/>
      <c r="U15" s="3"/>
      <c r="V15" s="3"/>
      <c r="W15" s="3"/>
      <c r="X15" s="3"/>
      <c r="Y15" s="3"/>
      <c r="Z15" s="3"/>
    </row>
    <row r="16">
      <c r="A16" s="1" t="s">
        <v>54</v>
      </c>
      <c r="B16" s="1" t="s">
        <v>55</v>
      </c>
      <c r="C16" s="3"/>
      <c r="D16" s="3"/>
      <c r="E16" s="3"/>
      <c r="F16" s="3"/>
      <c r="G16" s="3"/>
      <c r="H16" s="3"/>
      <c r="I16" s="3"/>
      <c r="J16" s="3"/>
      <c r="K16" s="3"/>
      <c r="L16" s="3"/>
      <c r="M16" s="3"/>
      <c r="N16" s="3"/>
      <c r="O16" s="3"/>
      <c r="P16" s="3"/>
      <c r="Q16" s="3"/>
      <c r="R16" s="3"/>
      <c r="S16" s="3"/>
      <c r="T16" s="3"/>
      <c r="U16" s="3"/>
      <c r="V16" s="3"/>
      <c r="W16" s="3"/>
      <c r="X16" s="3"/>
      <c r="Y16" s="3"/>
      <c r="Z16" s="3"/>
    </row>
    <row r="17">
      <c r="A17" s="1" t="s">
        <v>58</v>
      </c>
      <c r="B17" s="1" t="s">
        <v>59</v>
      </c>
      <c r="C17" s="3"/>
      <c r="D17" s="3"/>
      <c r="E17" s="3"/>
      <c r="F17" s="3"/>
      <c r="G17" s="3"/>
      <c r="H17" s="3"/>
      <c r="I17" s="3"/>
      <c r="J17" s="3"/>
      <c r="K17" s="3"/>
      <c r="L17" s="3"/>
      <c r="M17" s="3"/>
      <c r="N17" s="3"/>
      <c r="O17" s="3"/>
      <c r="P17" s="3"/>
      <c r="Q17" s="3"/>
      <c r="R17" s="3"/>
      <c r="S17" s="3"/>
      <c r="T17" s="3"/>
      <c r="U17" s="3"/>
      <c r="V17" s="3"/>
      <c r="W17" s="3"/>
      <c r="X17" s="3"/>
      <c r="Y17" s="3"/>
      <c r="Z17" s="3"/>
    </row>
    <row r="18">
      <c r="A18" s="7"/>
      <c r="B18" s="7"/>
      <c r="C18" s="3"/>
      <c r="D18" s="3"/>
      <c r="E18" s="3"/>
      <c r="F18" s="3"/>
      <c r="G18" s="3"/>
      <c r="H18" s="3"/>
      <c r="I18" s="3"/>
      <c r="J18" s="3"/>
      <c r="K18" s="3"/>
      <c r="L18" s="3"/>
      <c r="M18" s="3"/>
      <c r="N18" s="3"/>
      <c r="O18" s="3"/>
      <c r="P18" s="3"/>
      <c r="Q18" s="3"/>
      <c r="R18" s="3"/>
      <c r="S18" s="3"/>
      <c r="T18" s="3"/>
      <c r="U18" s="3"/>
      <c r="V18" s="3"/>
      <c r="W18" s="3"/>
      <c r="X18" s="3"/>
      <c r="Y18" s="3"/>
      <c r="Z18" s="3"/>
    </row>
    <row r="19">
      <c r="A19" s="1" t="s">
        <v>62</v>
      </c>
      <c r="B19" s="1" t="s">
        <v>64</v>
      </c>
      <c r="C19" s="3"/>
      <c r="D19" s="3"/>
      <c r="E19" s="3"/>
      <c r="F19" s="3"/>
      <c r="G19" s="3"/>
      <c r="H19" s="3"/>
      <c r="I19" s="3"/>
      <c r="J19" s="3"/>
      <c r="K19" s="3"/>
      <c r="L19" s="3"/>
      <c r="M19" s="3"/>
      <c r="N19" s="3"/>
      <c r="O19" s="3"/>
      <c r="P19" s="3"/>
      <c r="Q19" s="3"/>
      <c r="R19" s="3"/>
      <c r="S19" s="3"/>
      <c r="T19" s="3"/>
      <c r="U19" s="3"/>
      <c r="V19" s="3"/>
      <c r="W19" s="3"/>
      <c r="X19" s="3"/>
      <c r="Y19" s="3"/>
      <c r="Z19" s="3"/>
    </row>
    <row r="20">
      <c r="A20" s="1" t="s">
        <v>67</v>
      </c>
      <c r="B20" s="1" t="s">
        <v>68</v>
      </c>
      <c r="C20" s="3"/>
      <c r="D20" s="3"/>
      <c r="E20" s="3"/>
      <c r="F20" s="3"/>
      <c r="G20" s="3"/>
      <c r="H20" s="3"/>
      <c r="I20" s="3"/>
      <c r="J20" s="3"/>
      <c r="K20" s="3"/>
      <c r="L20" s="3"/>
      <c r="M20" s="3"/>
      <c r="N20" s="3"/>
      <c r="O20" s="3"/>
      <c r="P20" s="3"/>
      <c r="Q20" s="3"/>
      <c r="R20" s="3"/>
      <c r="S20" s="3"/>
      <c r="T20" s="3"/>
      <c r="U20" s="3"/>
      <c r="V20" s="3"/>
      <c r="W20" s="3"/>
      <c r="X20" s="3"/>
      <c r="Y20" s="3"/>
      <c r="Z20" s="3"/>
    </row>
    <row r="21">
      <c r="A21" s="1" t="s">
        <v>70</v>
      </c>
      <c r="B21" s="1" t="s">
        <v>72</v>
      </c>
      <c r="C21" s="3"/>
      <c r="D21" s="3"/>
      <c r="E21" s="3"/>
      <c r="F21" s="3"/>
      <c r="G21" s="3"/>
      <c r="H21" s="3"/>
      <c r="I21" s="3"/>
      <c r="J21" s="3"/>
      <c r="K21" s="3"/>
      <c r="L21" s="3"/>
      <c r="M21" s="3"/>
      <c r="N21" s="3"/>
      <c r="O21" s="3"/>
      <c r="P21" s="3"/>
      <c r="Q21" s="3"/>
      <c r="R21" s="3"/>
      <c r="S21" s="3"/>
      <c r="T21" s="3"/>
      <c r="U21" s="3"/>
      <c r="V21" s="3"/>
      <c r="W21" s="3"/>
      <c r="X21" s="3"/>
      <c r="Y21" s="3"/>
      <c r="Z21" s="3"/>
    </row>
    <row r="22">
      <c r="A22" s="1" t="s">
        <v>74</v>
      </c>
      <c r="B22" s="1" t="s">
        <v>75</v>
      </c>
      <c r="C22" s="3"/>
      <c r="D22" s="3"/>
      <c r="E22" s="3"/>
      <c r="F22" s="3"/>
      <c r="G22" s="3"/>
      <c r="H22" s="3"/>
      <c r="I22" s="3"/>
      <c r="J22" s="3"/>
      <c r="K22" s="3"/>
      <c r="L22" s="3"/>
      <c r="M22" s="3"/>
      <c r="N22" s="3"/>
      <c r="O22" s="3"/>
      <c r="P22" s="3"/>
      <c r="Q22" s="3"/>
      <c r="R22" s="3"/>
      <c r="S22" s="3"/>
      <c r="T22" s="3"/>
      <c r="U22" s="3"/>
      <c r="V22" s="3"/>
      <c r="W22" s="3"/>
      <c r="X22" s="3"/>
      <c r="Y22" s="3"/>
      <c r="Z22" s="3"/>
    </row>
    <row r="23">
      <c r="A23" s="1" t="s">
        <v>76</v>
      </c>
      <c r="B23" s="1" t="s">
        <v>77</v>
      </c>
      <c r="C23" s="3"/>
      <c r="D23" s="3"/>
      <c r="E23" s="3"/>
      <c r="F23" s="3"/>
      <c r="G23" s="3"/>
      <c r="H23" s="3"/>
      <c r="I23" s="3"/>
      <c r="J23" s="3"/>
      <c r="K23" s="3"/>
      <c r="L23" s="3"/>
      <c r="M23" s="3"/>
      <c r="N23" s="3"/>
      <c r="O23" s="3"/>
      <c r="P23" s="3"/>
      <c r="Q23" s="3"/>
      <c r="R23" s="3"/>
      <c r="S23" s="3"/>
      <c r="T23" s="3"/>
      <c r="U23" s="3"/>
      <c r="V23" s="3"/>
      <c r="W23" s="3"/>
      <c r="X23" s="3"/>
      <c r="Y23" s="3"/>
      <c r="Z23" s="3"/>
    </row>
    <row r="24">
      <c r="A24" s="1" t="s">
        <v>78</v>
      </c>
      <c r="B24" s="1" t="s">
        <v>80</v>
      </c>
      <c r="C24" s="3"/>
      <c r="D24" s="3"/>
      <c r="E24" s="3"/>
      <c r="F24" s="3"/>
      <c r="G24" s="3"/>
      <c r="H24" s="3"/>
      <c r="I24" s="3"/>
      <c r="J24" s="3"/>
      <c r="K24" s="3"/>
      <c r="L24" s="3"/>
      <c r="M24" s="3"/>
      <c r="N24" s="3"/>
      <c r="O24" s="3"/>
      <c r="P24" s="3"/>
      <c r="Q24" s="3"/>
      <c r="R24" s="3"/>
      <c r="S24" s="3"/>
      <c r="T24" s="3"/>
      <c r="U24" s="3"/>
      <c r="V24" s="3"/>
      <c r="W24" s="3"/>
      <c r="X24" s="3"/>
      <c r="Y24" s="3"/>
      <c r="Z24" s="3"/>
    </row>
    <row r="25">
      <c r="A25" s="1" t="s">
        <v>81</v>
      </c>
      <c r="B25" s="1" t="s">
        <v>82</v>
      </c>
      <c r="C25" s="3"/>
      <c r="D25" s="3"/>
      <c r="E25" s="3"/>
      <c r="F25" s="3"/>
      <c r="G25" s="3"/>
      <c r="H25" s="3"/>
      <c r="I25" s="3"/>
      <c r="J25" s="3"/>
      <c r="K25" s="3"/>
      <c r="L25" s="3"/>
      <c r="M25" s="3"/>
      <c r="N25" s="3"/>
      <c r="O25" s="3"/>
      <c r="P25" s="3"/>
      <c r="Q25" s="3"/>
      <c r="R25" s="3"/>
      <c r="S25" s="3"/>
      <c r="T25" s="3"/>
      <c r="U25" s="3"/>
      <c r="V25" s="3"/>
      <c r="W25" s="3"/>
      <c r="X25" s="3"/>
      <c r="Y25" s="3"/>
      <c r="Z25" s="3"/>
    </row>
    <row r="26">
      <c r="A26" s="1" t="s">
        <v>83</v>
      </c>
      <c r="B26" s="1" t="s">
        <v>84</v>
      </c>
      <c r="C26" s="3"/>
      <c r="D26" s="3"/>
      <c r="E26" s="3"/>
      <c r="F26" s="3"/>
      <c r="G26" s="3"/>
      <c r="H26" s="3"/>
      <c r="I26" s="3"/>
      <c r="J26" s="3"/>
      <c r="K26" s="3"/>
      <c r="L26" s="3"/>
      <c r="M26" s="3"/>
      <c r="N26" s="3"/>
      <c r="O26" s="3"/>
      <c r="P26" s="3"/>
      <c r="Q26" s="3"/>
      <c r="R26" s="3"/>
      <c r="S26" s="3"/>
      <c r="T26" s="3"/>
      <c r="U26" s="3"/>
      <c r="V26" s="3"/>
      <c r="W26" s="3"/>
      <c r="X26" s="3"/>
      <c r="Y26" s="3"/>
      <c r="Z26" s="3"/>
    </row>
    <row r="27">
      <c r="A27" s="1" t="s">
        <v>85</v>
      </c>
      <c r="B27" s="1" t="s">
        <v>86</v>
      </c>
      <c r="C27" s="3"/>
      <c r="D27" s="3"/>
      <c r="E27" s="3"/>
      <c r="F27" s="3"/>
      <c r="G27" s="3"/>
      <c r="H27" s="3"/>
      <c r="I27" s="3"/>
      <c r="J27" s="3"/>
      <c r="K27" s="3"/>
      <c r="L27" s="3"/>
      <c r="M27" s="3"/>
      <c r="N27" s="3"/>
      <c r="O27" s="3"/>
      <c r="P27" s="3"/>
      <c r="Q27" s="3"/>
      <c r="R27" s="3"/>
      <c r="S27" s="3"/>
      <c r="T27" s="3"/>
      <c r="U27" s="3"/>
      <c r="V27" s="3"/>
      <c r="W27" s="3"/>
      <c r="X27" s="3"/>
      <c r="Y27" s="3"/>
      <c r="Z27" s="3"/>
    </row>
    <row r="28">
      <c r="A28" s="1" t="s">
        <v>88</v>
      </c>
      <c r="B28" s="1" t="s">
        <v>89</v>
      </c>
      <c r="C28" s="3"/>
      <c r="D28" s="3"/>
      <c r="E28" s="3"/>
      <c r="F28" s="3"/>
      <c r="G28" s="3"/>
      <c r="H28" s="3"/>
      <c r="I28" s="3"/>
      <c r="J28" s="3"/>
      <c r="K28" s="3"/>
      <c r="L28" s="3"/>
      <c r="M28" s="3"/>
      <c r="N28" s="3"/>
      <c r="O28" s="3"/>
      <c r="P28" s="3"/>
      <c r="Q28" s="3"/>
      <c r="R28" s="3"/>
      <c r="S28" s="3"/>
      <c r="T28" s="3"/>
      <c r="U28" s="3"/>
      <c r="V28" s="3"/>
      <c r="W28" s="3"/>
      <c r="X28" s="3"/>
      <c r="Y28" s="3"/>
      <c r="Z28" s="3"/>
    </row>
    <row r="29">
      <c r="A29" s="1" t="s">
        <v>90</v>
      </c>
      <c r="B29" s="1" t="s">
        <v>91</v>
      </c>
      <c r="C29" s="3"/>
      <c r="D29" s="3"/>
      <c r="E29" s="3"/>
      <c r="F29" s="3"/>
      <c r="G29" s="3"/>
      <c r="H29" s="3"/>
      <c r="I29" s="3"/>
      <c r="J29" s="3"/>
      <c r="K29" s="3"/>
      <c r="L29" s="3"/>
      <c r="M29" s="3"/>
      <c r="N29" s="3"/>
      <c r="O29" s="3"/>
      <c r="P29" s="3"/>
      <c r="Q29" s="3"/>
      <c r="R29" s="3"/>
      <c r="S29" s="3"/>
      <c r="T29" s="3"/>
      <c r="U29" s="3"/>
      <c r="V29" s="3"/>
      <c r="W29" s="3"/>
      <c r="X29" s="3"/>
      <c r="Y29" s="3"/>
      <c r="Z29" s="3"/>
    </row>
    <row r="30">
      <c r="A30" s="1" t="s">
        <v>92</v>
      </c>
      <c r="B30" s="1" t="s">
        <v>93</v>
      </c>
      <c r="C30" s="3"/>
      <c r="D30" s="3"/>
      <c r="E30" s="3"/>
      <c r="F30" s="3"/>
      <c r="G30" s="3"/>
      <c r="H30" s="3"/>
      <c r="I30" s="3"/>
      <c r="J30" s="3"/>
      <c r="K30" s="3"/>
      <c r="L30" s="3"/>
      <c r="M30" s="3"/>
      <c r="N30" s="3"/>
      <c r="O30" s="3"/>
      <c r="P30" s="3"/>
      <c r="Q30" s="3"/>
      <c r="R30" s="3"/>
      <c r="S30" s="3"/>
      <c r="T30" s="3"/>
      <c r="U30" s="3"/>
      <c r="V30" s="3"/>
      <c r="W30" s="3"/>
      <c r="X30" s="3"/>
      <c r="Y30" s="3"/>
      <c r="Z30" s="3"/>
    </row>
    <row r="31">
      <c r="A31" s="1" t="s">
        <v>96</v>
      </c>
      <c r="B31" s="1" t="s">
        <v>97</v>
      </c>
      <c r="C31" s="3"/>
      <c r="D31" s="3"/>
      <c r="E31" s="3"/>
      <c r="F31" s="3"/>
      <c r="G31" s="3"/>
      <c r="H31" s="3"/>
      <c r="I31" s="3"/>
      <c r="J31" s="3"/>
      <c r="K31" s="3"/>
      <c r="L31" s="3"/>
      <c r="M31" s="3"/>
      <c r="N31" s="3"/>
      <c r="O31" s="3"/>
      <c r="P31" s="3"/>
      <c r="Q31" s="3"/>
      <c r="R31" s="3"/>
      <c r="S31" s="3"/>
      <c r="T31" s="3"/>
      <c r="U31" s="3"/>
      <c r="V31" s="3"/>
      <c r="W31" s="3"/>
      <c r="X31" s="3"/>
      <c r="Y31" s="3"/>
      <c r="Z31" s="3"/>
    </row>
    <row r="32">
      <c r="A32" s="1" t="s">
        <v>99</v>
      </c>
      <c r="B32" s="1" t="s">
        <v>100</v>
      </c>
      <c r="C32" s="3"/>
      <c r="D32" s="3"/>
      <c r="E32" s="3"/>
      <c r="F32" s="3"/>
      <c r="G32" s="3"/>
      <c r="H32" s="3"/>
      <c r="I32" s="3"/>
      <c r="J32" s="3"/>
      <c r="K32" s="3"/>
      <c r="L32" s="3"/>
      <c r="M32" s="3"/>
      <c r="N32" s="3"/>
      <c r="O32" s="3"/>
      <c r="P32" s="3"/>
      <c r="Q32" s="3"/>
      <c r="R32" s="3"/>
      <c r="S32" s="3"/>
      <c r="T32" s="3"/>
      <c r="U32" s="3"/>
      <c r="V32" s="3"/>
      <c r="W32" s="3"/>
      <c r="X32" s="3"/>
      <c r="Y32" s="3"/>
      <c r="Z32" s="3"/>
    </row>
    <row r="33">
      <c r="A33" s="1" t="s">
        <v>102</v>
      </c>
      <c r="B33" s="1" t="s">
        <v>103</v>
      </c>
      <c r="C33" s="3"/>
      <c r="D33" s="3"/>
      <c r="E33" s="3"/>
      <c r="F33" s="3"/>
      <c r="G33" s="3"/>
      <c r="H33" s="3"/>
      <c r="I33" s="3"/>
      <c r="J33" s="3"/>
      <c r="K33" s="3"/>
      <c r="L33" s="3"/>
      <c r="M33" s="3"/>
      <c r="N33" s="3"/>
      <c r="O33" s="3"/>
      <c r="P33" s="3"/>
      <c r="Q33" s="3"/>
      <c r="R33" s="3"/>
      <c r="S33" s="3"/>
      <c r="T33" s="3"/>
      <c r="U33" s="3"/>
      <c r="V33" s="3"/>
      <c r="W33" s="3"/>
      <c r="X33" s="3"/>
      <c r="Y33" s="3"/>
      <c r="Z33" s="3"/>
    </row>
    <row r="34">
      <c r="A34" s="1" t="s">
        <v>104</v>
      </c>
      <c r="B34" s="1" t="s">
        <v>105</v>
      </c>
      <c r="C34" s="3"/>
      <c r="D34" s="3"/>
      <c r="E34" s="3"/>
      <c r="F34" s="3"/>
      <c r="G34" s="3"/>
      <c r="H34" s="3"/>
      <c r="I34" s="3"/>
      <c r="J34" s="3"/>
      <c r="K34" s="3"/>
      <c r="L34" s="3"/>
      <c r="M34" s="3"/>
      <c r="N34" s="3"/>
      <c r="O34" s="3"/>
      <c r="P34" s="3"/>
      <c r="Q34" s="3"/>
      <c r="R34" s="3"/>
      <c r="S34" s="3"/>
      <c r="T34" s="3"/>
      <c r="U34" s="3"/>
      <c r="V34" s="3"/>
      <c r="W34" s="3"/>
      <c r="X34" s="3"/>
      <c r="Y34" s="3"/>
      <c r="Z34" s="3"/>
    </row>
    <row r="35">
      <c r="A35" s="1" t="s">
        <v>106</v>
      </c>
      <c r="B35" s="1" t="s">
        <v>107</v>
      </c>
      <c r="C35" s="3"/>
      <c r="D35" s="3"/>
      <c r="E35" s="3"/>
      <c r="F35" s="3"/>
      <c r="G35" s="3"/>
      <c r="H35" s="3"/>
      <c r="I35" s="3"/>
      <c r="J35" s="3"/>
      <c r="K35" s="3"/>
      <c r="L35" s="3"/>
      <c r="M35" s="3"/>
      <c r="N35" s="3"/>
      <c r="O35" s="3"/>
      <c r="P35" s="3"/>
      <c r="Q35" s="3"/>
      <c r="R35" s="3"/>
      <c r="S35" s="3"/>
      <c r="T35" s="3"/>
      <c r="U35" s="3"/>
      <c r="V35" s="3"/>
      <c r="W35" s="3"/>
      <c r="X35" s="3"/>
      <c r="Y35" s="3"/>
      <c r="Z35" s="3"/>
    </row>
    <row r="36">
      <c r="A36" s="7"/>
      <c r="B36" s="7"/>
      <c r="C36" s="3"/>
      <c r="D36" s="3"/>
      <c r="E36" s="3"/>
      <c r="F36" s="3"/>
      <c r="G36" s="3"/>
      <c r="H36" s="3"/>
      <c r="I36" s="3"/>
      <c r="J36" s="3"/>
      <c r="K36" s="3"/>
      <c r="L36" s="3"/>
      <c r="M36" s="3"/>
      <c r="N36" s="3"/>
      <c r="O36" s="3"/>
      <c r="P36" s="3"/>
      <c r="Q36" s="3"/>
      <c r="R36" s="3"/>
      <c r="S36" s="3"/>
      <c r="T36" s="3"/>
      <c r="U36" s="3"/>
      <c r="V36" s="3"/>
      <c r="W36" s="3"/>
      <c r="X36" s="3"/>
      <c r="Y36" s="3"/>
      <c r="Z36" s="3"/>
    </row>
    <row r="37">
      <c r="A37" s="1" t="s">
        <v>111</v>
      </c>
      <c r="B37" s="1" t="s">
        <v>113</v>
      </c>
      <c r="C37" s="3"/>
      <c r="D37" s="3"/>
      <c r="E37" s="3"/>
      <c r="F37" s="3"/>
      <c r="G37" s="3"/>
      <c r="H37" s="3"/>
      <c r="I37" s="3"/>
      <c r="J37" s="3"/>
      <c r="K37" s="3"/>
      <c r="L37" s="3"/>
      <c r="M37" s="3"/>
      <c r="N37" s="3"/>
      <c r="O37" s="3"/>
      <c r="P37" s="3"/>
      <c r="Q37" s="3"/>
      <c r="R37" s="3"/>
      <c r="S37" s="3"/>
      <c r="T37" s="3"/>
      <c r="U37" s="3"/>
      <c r="V37" s="3"/>
      <c r="W37" s="3"/>
      <c r="X37" s="3"/>
      <c r="Y37" s="3"/>
      <c r="Z37" s="3"/>
    </row>
    <row r="38">
      <c r="A38" s="7"/>
      <c r="B38" s="7"/>
      <c r="C38" s="3"/>
      <c r="D38" s="3"/>
      <c r="E38" s="3"/>
      <c r="F38" s="3"/>
      <c r="G38" s="3"/>
      <c r="H38" s="3"/>
      <c r="I38" s="3"/>
      <c r="J38" s="3"/>
      <c r="K38" s="3"/>
      <c r="L38" s="3"/>
      <c r="M38" s="3"/>
      <c r="N38" s="3"/>
      <c r="O38" s="3"/>
      <c r="P38" s="3"/>
      <c r="Q38" s="3"/>
      <c r="R38" s="3"/>
      <c r="S38" s="3"/>
      <c r="T38" s="3"/>
      <c r="U38" s="3"/>
      <c r="V38" s="3"/>
      <c r="W38" s="3"/>
      <c r="X38" s="3"/>
      <c r="Y38" s="3"/>
      <c r="Z38" s="3"/>
    </row>
    <row r="39">
      <c r="A39" s="1" t="s">
        <v>117</v>
      </c>
      <c r="B39" s="1" t="s">
        <v>118</v>
      </c>
      <c r="C39" s="3"/>
      <c r="D39" s="3"/>
      <c r="E39" s="3"/>
      <c r="F39" s="3"/>
      <c r="G39" s="3"/>
      <c r="H39" s="3"/>
      <c r="I39" s="3"/>
      <c r="J39" s="3"/>
      <c r="K39" s="3"/>
      <c r="L39" s="3"/>
      <c r="M39" s="3"/>
      <c r="N39" s="3"/>
      <c r="O39" s="3"/>
      <c r="P39" s="3"/>
      <c r="Q39" s="3"/>
      <c r="R39" s="3"/>
      <c r="S39" s="3"/>
      <c r="T39" s="3"/>
      <c r="U39" s="3"/>
      <c r="V39" s="3"/>
      <c r="W39" s="3"/>
      <c r="X39" s="3"/>
      <c r="Y39" s="3"/>
      <c r="Z39" s="3"/>
    </row>
    <row r="40">
      <c r="A40" s="1" t="s">
        <v>119</v>
      </c>
      <c r="B40" s="1" t="s">
        <v>120</v>
      </c>
      <c r="C40" s="3"/>
      <c r="D40" s="3"/>
      <c r="E40" s="3"/>
      <c r="F40" s="3"/>
      <c r="G40" s="3"/>
      <c r="H40" s="3"/>
      <c r="I40" s="3"/>
      <c r="J40" s="3"/>
      <c r="K40" s="3"/>
      <c r="L40" s="3"/>
      <c r="M40" s="3"/>
      <c r="N40" s="3"/>
      <c r="O40" s="3"/>
      <c r="P40" s="3"/>
      <c r="Q40" s="3"/>
      <c r="R40" s="3"/>
      <c r="S40" s="3"/>
      <c r="T40" s="3"/>
      <c r="U40" s="3"/>
      <c r="V40" s="3"/>
      <c r="W40" s="3"/>
      <c r="X40" s="3"/>
      <c r="Y40" s="3"/>
      <c r="Z40" s="3"/>
    </row>
    <row r="41">
      <c r="A41" s="1" t="s">
        <v>121</v>
      </c>
      <c r="B41" s="1" t="s">
        <v>122</v>
      </c>
      <c r="C41" s="3"/>
      <c r="D41" s="3"/>
      <c r="E41" s="3"/>
      <c r="F41" s="3"/>
      <c r="G41" s="3"/>
      <c r="H41" s="3"/>
      <c r="I41" s="3"/>
      <c r="J41" s="3"/>
      <c r="K41" s="3"/>
      <c r="L41" s="3"/>
      <c r="M41" s="3"/>
      <c r="N41" s="3"/>
      <c r="O41" s="3"/>
      <c r="P41" s="3"/>
      <c r="Q41" s="3"/>
      <c r="R41" s="3"/>
      <c r="S41" s="3"/>
      <c r="T41" s="3"/>
      <c r="U41" s="3"/>
      <c r="V41" s="3"/>
      <c r="W41" s="3"/>
      <c r="X41" s="3"/>
      <c r="Y41" s="3"/>
      <c r="Z41" s="3"/>
    </row>
    <row r="42">
      <c r="A42" s="1" t="s">
        <v>124</v>
      </c>
      <c r="B42" s="1" t="s">
        <v>125</v>
      </c>
      <c r="C42" s="3"/>
      <c r="D42" s="3"/>
      <c r="E42" s="3"/>
      <c r="F42" s="3"/>
      <c r="G42" s="3"/>
      <c r="H42" s="3"/>
      <c r="I42" s="3"/>
      <c r="J42" s="3"/>
      <c r="K42" s="3"/>
      <c r="L42" s="3"/>
      <c r="M42" s="3"/>
      <c r="N42" s="3"/>
      <c r="O42" s="3"/>
      <c r="P42" s="3"/>
      <c r="Q42" s="3"/>
      <c r="R42" s="3"/>
      <c r="S42" s="3"/>
      <c r="T42" s="3"/>
      <c r="U42" s="3"/>
      <c r="V42" s="3"/>
      <c r="W42" s="3"/>
      <c r="X42" s="3"/>
      <c r="Y42" s="3"/>
      <c r="Z42" s="3"/>
    </row>
    <row r="43">
      <c r="A43" s="1" t="s">
        <v>126</v>
      </c>
      <c r="B43" s="1" t="s">
        <v>128</v>
      </c>
      <c r="C43" s="3"/>
      <c r="D43" s="3"/>
      <c r="E43" s="3"/>
      <c r="F43" s="3"/>
      <c r="G43" s="3"/>
      <c r="H43" s="3"/>
      <c r="I43" s="3"/>
      <c r="J43" s="3"/>
      <c r="K43" s="3"/>
      <c r="L43" s="3"/>
      <c r="M43" s="3"/>
      <c r="N43" s="3"/>
      <c r="O43" s="3"/>
      <c r="P43" s="3"/>
      <c r="Q43" s="3"/>
      <c r="R43" s="3"/>
      <c r="S43" s="3"/>
      <c r="T43" s="3"/>
      <c r="U43" s="3"/>
      <c r="V43" s="3"/>
      <c r="W43" s="3"/>
      <c r="X43" s="3"/>
      <c r="Y43" s="3"/>
      <c r="Z43" s="3"/>
    </row>
    <row r="44">
      <c r="A44" s="1" t="s">
        <v>130</v>
      </c>
      <c r="B44" s="1" t="s">
        <v>131</v>
      </c>
      <c r="C44" s="3"/>
      <c r="D44" s="3"/>
      <c r="E44" s="3"/>
      <c r="F44" s="3"/>
      <c r="G44" s="3"/>
      <c r="H44" s="3"/>
      <c r="I44" s="3"/>
      <c r="J44" s="3"/>
      <c r="K44" s="3"/>
      <c r="L44" s="3"/>
      <c r="M44" s="3"/>
      <c r="N44" s="3"/>
      <c r="O44" s="3"/>
      <c r="P44" s="3"/>
      <c r="Q44" s="3"/>
      <c r="R44" s="3"/>
      <c r="S44" s="3"/>
      <c r="T44" s="3"/>
      <c r="U44" s="3"/>
      <c r="V44" s="3"/>
      <c r="W44" s="3"/>
      <c r="X44" s="3"/>
      <c r="Y44" s="3"/>
      <c r="Z44" s="3"/>
    </row>
    <row r="45">
      <c r="A45" s="1" t="s">
        <v>132</v>
      </c>
      <c r="B45" s="1" t="s">
        <v>133</v>
      </c>
      <c r="C45" s="3"/>
      <c r="D45" s="3"/>
      <c r="E45" s="3"/>
      <c r="F45" s="3"/>
      <c r="G45" s="3"/>
      <c r="H45" s="3"/>
      <c r="I45" s="3"/>
      <c r="J45" s="3"/>
      <c r="K45" s="3"/>
      <c r="L45" s="3"/>
      <c r="M45" s="3"/>
      <c r="N45" s="3"/>
      <c r="O45" s="3"/>
      <c r="P45" s="3"/>
      <c r="Q45" s="3"/>
      <c r="R45" s="3"/>
      <c r="S45" s="3"/>
      <c r="T45" s="3"/>
      <c r="U45" s="3"/>
      <c r="V45" s="3"/>
      <c r="W45" s="3"/>
      <c r="X45" s="3"/>
      <c r="Y45" s="3"/>
      <c r="Z45" s="3"/>
    </row>
    <row r="46">
      <c r="A46" s="1" t="s">
        <v>134</v>
      </c>
      <c r="B46" s="1" t="s">
        <v>135</v>
      </c>
      <c r="C46" s="3"/>
      <c r="D46" s="3"/>
      <c r="E46" s="3"/>
      <c r="F46" s="3"/>
      <c r="G46" s="3"/>
      <c r="H46" s="3"/>
      <c r="I46" s="3"/>
      <c r="J46" s="3"/>
      <c r="K46" s="3"/>
      <c r="L46" s="3"/>
      <c r="M46" s="3"/>
      <c r="N46" s="3"/>
      <c r="O46" s="3"/>
      <c r="P46" s="3"/>
      <c r="Q46" s="3"/>
      <c r="R46" s="3"/>
      <c r="S46" s="3"/>
      <c r="T46" s="3"/>
      <c r="U46" s="3"/>
      <c r="V46" s="3"/>
      <c r="W46" s="3"/>
      <c r="X46" s="3"/>
      <c r="Y46" s="3"/>
      <c r="Z46" s="3"/>
    </row>
    <row r="47">
      <c r="A47" s="1" t="s">
        <v>136</v>
      </c>
      <c r="B47" s="1" t="s">
        <v>137</v>
      </c>
      <c r="C47" s="3"/>
      <c r="D47" s="3"/>
      <c r="E47" s="3"/>
      <c r="F47" s="3"/>
      <c r="G47" s="3"/>
      <c r="H47" s="3"/>
      <c r="I47" s="3"/>
      <c r="J47" s="3"/>
      <c r="K47" s="3"/>
      <c r="L47" s="3"/>
      <c r="M47" s="3"/>
      <c r="N47" s="3"/>
      <c r="O47" s="3"/>
      <c r="P47" s="3"/>
      <c r="Q47" s="3"/>
      <c r="R47" s="3"/>
      <c r="S47" s="3"/>
      <c r="T47" s="3"/>
      <c r="U47" s="3"/>
      <c r="V47" s="3"/>
      <c r="W47" s="3"/>
      <c r="X47" s="3"/>
      <c r="Y47" s="3"/>
      <c r="Z47" s="3"/>
    </row>
    <row r="48">
      <c r="A48" s="1" t="s">
        <v>138</v>
      </c>
      <c r="B48" s="1" t="s">
        <v>139</v>
      </c>
      <c r="C48" s="3"/>
      <c r="D48" s="3"/>
      <c r="E48" s="3"/>
      <c r="F48" s="3"/>
      <c r="G48" s="3"/>
      <c r="H48" s="3"/>
      <c r="I48" s="3"/>
      <c r="J48" s="3"/>
      <c r="K48" s="3"/>
      <c r="L48" s="3"/>
      <c r="M48" s="3"/>
      <c r="N48" s="3"/>
      <c r="O48" s="3"/>
      <c r="P48" s="3"/>
      <c r="Q48" s="3"/>
      <c r="R48" s="3"/>
      <c r="S48" s="3"/>
      <c r="T48" s="3"/>
      <c r="U48" s="3"/>
      <c r="V48" s="3"/>
      <c r="W48" s="3"/>
      <c r="X48" s="3"/>
      <c r="Y48" s="3"/>
      <c r="Z48" s="3"/>
    </row>
    <row r="49">
      <c r="A49" s="1" t="s">
        <v>140</v>
      </c>
      <c r="B49" s="1" t="s">
        <v>141</v>
      </c>
      <c r="C49" s="3"/>
      <c r="D49" s="3"/>
      <c r="E49" s="3"/>
      <c r="F49" s="3"/>
      <c r="G49" s="3"/>
      <c r="H49" s="3"/>
      <c r="I49" s="3"/>
      <c r="J49" s="3"/>
      <c r="K49" s="3"/>
      <c r="L49" s="3"/>
      <c r="M49" s="3"/>
      <c r="N49" s="3"/>
      <c r="O49" s="3"/>
      <c r="P49" s="3"/>
      <c r="Q49" s="3"/>
      <c r="R49" s="3"/>
      <c r="S49" s="3"/>
      <c r="T49" s="3"/>
      <c r="U49" s="3"/>
      <c r="V49" s="3"/>
      <c r="W49" s="3"/>
      <c r="X49" s="3"/>
      <c r="Y49" s="3"/>
      <c r="Z49" s="3"/>
    </row>
    <row r="50">
      <c r="A50" s="1" t="s">
        <v>142</v>
      </c>
      <c r="B50" s="1" t="s">
        <v>143</v>
      </c>
      <c r="C50" s="3"/>
      <c r="D50" s="3"/>
      <c r="E50" s="3"/>
      <c r="F50" s="3"/>
      <c r="G50" s="3"/>
      <c r="H50" s="3"/>
      <c r="I50" s="3"/>
      <c r="J50" s="3"/>
      <c r="K50" s="3"/>
      <c r="L50" s="3"/>
      <c r="M50" s="3"/>
      <c r="N50" s="3"/>
      <c r="O50" s="3"/>
      <c r="P50" s="3"/>
      <c r="Q50" s="3"/>
      <c r="R50" s="3"/>
      <c r="S50" s="3"/>
      <c r="T50" s="3"/>
      <c r="U50" s="3"/>
      <c r="V50" s="3"/>
      <c r="W50" s="3"/>
      <c r="X50" s="3"/>
      <c r="Y50" s="3"/>
      <c r="Z50" s="3"/>
    </row>
    <row r="51">
      <c r="A51" s="1" t="s">
        <v>144</v>
      </c>
      <c r="B51" s="1" t="s">
        <v>145</v>
      </c>
      <c r="C51" s="3"/>
      <c r="D51" s="3"/>
      <c r="E51" s="3"/>
      <c r="F51" s="3"/>
      <c r="G51" s="3"/>
      <c r="H51" s="3"/>
      <c r="I51" s="3"/>
      <c r="J51" s="3"/>
      <c r="K51" s="3"/>
      <c r="L51" s="3"/>
      <c r="M51" s="3"/>
      <c r="N51" s="3"/>
      <c r="O51" s="3"/>
      <c r="P51" s="3"/>
      <c r="Q51" s="3"/>
      <c r="R51" s="3"/>
      <c r="S51" s="3"/>
      <c r="T51" s="3"/>
      <c r="U51" s="3"/>
      <c r="V51" s="3"/>
      <c r="W51" s="3"/>
      <c r="X51" s="3"/>
      <c r="Y51" s="3"/>
      <c r="Z51" s="3"/>
    </row>
    <row r="52">
      <c r="A52" s="1" t="s">
        <v>146</v>
      </c>
      <c r="B52" s="1" t="s">
        <v>147</v>
      </c>
      <c r="C52" s="3"/>
      <c r="D52" s="3"/>
      <c r="E52" s="3"/>
      <c r="F52" s="3"/>
      <c r="G52" s="3"/>
      <c r="H52" s="3"/>
      <c r="I52" s="3"/>
      <c r="J52" s="3"/>
      <c r="K52" s="3"/>
      <c r="L52" s="3"/>
      <c r="M52" s="3"/>
      <c r="N52" s="3"/>
      <c r="O52" s="3"/>
      <c r="P52" s="3"/>
      <c r="Q52" s="3"/>
      <c r="R52" s="3"/>
      <c r="S52" s="3"/>
      <c r="T52" s="3"/>
      <c r="U52" s="3"/>
      <c r="V52" s="3"/>
      <c r="W52" s="3"/>
      <c r="X52" s="3"/>
      <c r="Y52" s="3"/>
      <c r="Z52" s="3"/>
    </row>
    <row r="53">
      <c r="A53" s="1" t="s">
        <v>148</v>
      </c>
      <c r="B53" s="1" t="s">
        <v>149</v>
      </c>
      <c r="C53" s="3"/>
      <c r="D53" s="3"/>
      <c r="E53" s="3"/>
      <c r="F53" s="3"/>
      <c r="G53" s="3"/>
      <c r="H53" s="3"/>
      <c r="I53" s="3"/>
      <c r="J53" s="3"/>
      <c r="K53" s="3"/>
      <c r="L53" s="3"/>
      <c r="M53" s="3"/>
      <c r="N53" s="3"/>
      <c r="O53" s="3"/>
      <c r="P53" s="3"/>
      <c r="Q53" s="3"/>
      <c r="R53" s="3"/>
      <c r="S53" s="3"/>
      <c r="T53" s="3"/>
      <c r="U53" s="3"/>
      <c r="V53" s="3"/>
      <c r="W53" s="3"/>
      <c r="X53" s="3"/>
      <c r="Y53" s="3"/>
      <c r="Z53" s="3"/>
    </row>
    <row r="54">
      <c r="A54" s="1" t="s">
        <v>150</v>
      </c>
      <c r="B54" s="1" t="s">
        <v>145</v>
      </c>
      <c r="C54" s="3"/>
      <c r="D54" s="3"/>
      <c r="E54" s="3"/>
      <c r="F54" s="3"/>
      <c r="G54" s="3"/>
      <c r="H54" s="3"/>
      <c r="I54" s="3"/>
      <c r="J54" s="3"/>
      <c r="K54" s="3"/>
      <c r="L54" s="3"/>
      <c r="M54" s="3"/>
      <c r="N54" s="3"/>
      <c r="O54" s="3"/>
      <c r="P54" s="3"/>
      <c r="Q54" s="3"/>
      <c r="R54" s="3"/>
      <c r="S54" s="3"/>
      <c r="T54" s="3"/>
      <c r="U54" s="3"/>
      <c r="V54" s="3"/>
      <c r="W54" s="3"/>
      <c r="X54" s="3"/>
      <c r="Y54" s="3"/>
      <c r="Z54" s="3"/>
    </row>
    <row r="55">
      <c r="A55" s="1" t="s">
        <v>153</v>
      </c>
      <c r="B55" s="1" t="s">
        <v>154</v>
      </c>
      <c r="C55" s="3"/>
      <c r="D55" s="3"/>
      <c r="E55" s="3"/>
      <c r="F55" s="3"/>
      <c r="G55" s="3"/>
      <c r="H55" s="3"/>
      <c r="I55" s="3"/>
      <c r="J55" s="3"/>
      <c r="K55" s="3"/>
      <c r="L55" s="3"/>
      <c r="M55" s="3"/>
      <c r="N55" s="3"/>
      <c r="O55" s="3"/>
      <c r="P55" s="3"/>
      <c r="Q55" s="3"/>
      <c r="R55" s="3"/>
      <c r="S55" s="3"/>
      <c r="T55" s="3"/>
      <c r="U55" s="3"/>
      <c r="V55" s="3"/>
      <c r="W55" s="3"/>
      <c r="X55" s="3"/>
      <c r="Y55" s="3"/>
      <c r="Z55" s="3"/>
    </row>
    <row r="56">
      <c r="A56" s="1" t="s">
        <v>156</v>
      </c>
      <c r="B56" s="1" t="s">
        <v>157</v>
      </c>
      <c r="C56" s="3"/>
      <c r="D56" s="3"/>
      <c r="E56" s="3"/>
      <c r="F56" s="3"/>
      <c r="G56" s="3"/>
      <c r="H56" s="3"/>
      <c r="I56" s="3"/>
      <c r="J56" s="3"/>
      <c r="K56" s="3"/>
      <c r="L56" s="3"/>
      <c r="M56" s="3"/>
      <c r="N56" s="3"/>
      <c r="O56" s="3"/>
      <c r="P56" s="3"/>
      <c r="Q56" s="3"/>
      <c r="R56" s="3"/>
      <c r="S56" s="3"/>
      <c r="T56" s="3"/>
      <c r="U56" s="3"/>
      <c r="V56" s="3"/>
      <c r="W56" s="3"/>
      <c r="X56" s="3"/>
      <c r="Y56" s="3"/>
      <c r="Z56" s="3"/>
    </row>
    <row r="57">
      <c r="A57" s="1" t="s">
        <v>158</v>
      </c>
      <c r="B57" s="1" t="s">
        <v>159</v>
      </c>
      <c r="C57" s="3"/>
      <c r="D57" s="3"/>
      <c r="E57" s="3"/>
      <c r="F57" s="3"/>
      <c r="G57" s="3"/>
      <c r="H57" s="3"/>
      <c r="I57" s="3"/>
      <c r="J57" s="3"/>
      <c r="K57" s="3"/>
      <c r="L57" s="3"/>
      <c r="M57" s="3"/>
      <c r="N57" s="3"/>
      <c r="O57" s="3"/>
      <c r="P57" s="3"/>
      <c r="Q57" s="3"/>
      <c r="R57" s="3"/>
      <c r="S57" s="3"/>
      <c r="T57" s="3"/>
      <c r="U57" s="3"/>
      <c r="V57" s="3"/>
      <c r="W57" s="3"/>
      <c r="X57" s="3"/>
      <c r="Y57" s="3"/>
      <c r="Z57" s="3"/>
    </row>
    <row r="58">
      <c r="A58" s="1" t="s">
        <v>160</v>
      </c>
      <c r="B58" s="1" t="s">
        <v>161</v>
      </c>
      <c r="C58" s="3"/>
      <c r="D58" s="3"/>
      <c r="E58" s="3"/>
      <c r="F58" s="3"/>
      <c r="G58" s="3"/>
      <c r="H58" s="3"/>
      <c r="I58" s="3"/>
      <c r="J58" s="3"/>
      <c r="K58" s="3"/>
      <c r="L58" s="3"/>
      <c r="M58" s="3"/>
      <c r="N58" s="3"/>
      <c r="O58" s="3"/>
      <c r="P58" s="3"/>
      <c r="Q58" s="3"/>
      <c r="R58" s="3"/>
      <c r="S58" s="3"/>
      <c r="T58" s="3"/>
      <c r="U58" s="3"/>
      <c r="V58" s="3"/>
      <c r="W58" s="3"/>
      <c r="X58" s="3"/>
      <c r="Y58" s="3"/>
      <c r="Z58" s="3"/>
    </row>
    <row r="59">
      <c r="A59" s="1" t="s">
        <v>162</v>
      </c>
      <c r="B59" s="1" t="s">
        <v>163</v>
      </c>
      <c r="C59" s="3"/>
      <c r="D59" s="3"/>
      <c r="E59" s="3"/>
      <c r="F59" s="3"/>
      <c r="G59" s="3"/>
      <c r="H59" s="3"/>
      <c r="I59" s="3"/>
      <c r="J59" s="3"/>
      <c r="K59" s="3"/>
      <c r="L59" s="3"/>
      <c r="M59" s="3"/>
      <c r="N59" s="3"/>
      <c r="O59" s="3"/>
      <c r="P59" s="3"/>
      <c r="Q59" s="3"/>
      <c r="R59" s="3"/>
      <c r="S59" s="3"/>
      <c r="T59" s="3"/>
      <c r="U59" s="3"/>
      <c r="V59" s="3"/>
      <c r="W59" s="3"/>
      <c r="X59" s="3"/>
      <c r="Y59" s="3"/>
      <c r="Z59" s="3"/>
    </row>
    <row r="60">
      <c r="A60" s="7"/>
      <c r="B60" s="7"/>
      <c r="C60" s="3"/>
      <c r="D60" s="3"/>
      <c r="E60" s="3"/>
      <c r="F60" s="3"/>
      <c r="G60" s="3"/>
      <c r="H60" s="3"/>
      <c r="I60" s="3"/>
      <c r="J60" s="3"/>
      <c r="K60" s="3"/>
      <c r="L60" s="3"/>
      <c r="M60" s="3"/>
      <c r="N60" s="3"/>
      <c r="O60" s="3"/>
      <c r="P60" s="3"/>
      <c r="Q60" s="3"/>
      <c r="R60" s="3"/>
      <c r="S60" s="3"/>
      <c r="T60" s="3"/>
      <c r="U60" s="3"/>
      <c r="V60" s="3"/>
      <c r="W60" s="3"/>
      <c r="X60" s="3"/>
      <c r="Y60" s="3"/>
      <c r="Z60" s="3"/>
    </row>
    <row r="61">
      <c r="A61" s="7"/>
      <c r="B61" s="7"/>
      <c r="C61" s="3"/>
      <c r="D61" s="3"/>
      <c r="E61" s="3"/>
      <c r="F61" s="3"/>
      <c r="G61" s="3"/>
      <c r="H61" s="3"/>
      <c r="I61" s="3"/>
      <c r="J61" s="3"/>
      <c r="K61" s="3"/>
      <c r="L61" s="3"/>
      <c r="M61" s="3"/>
      <c r="N61" s="3"/>
      <c r="O61" s="3"/>
      <c r="P61" s="3"/>
      <c r="Q61" s="3"/>
      <c r="R61" s="3"/>
      <c r="S61" s="3"/>
      <c r="T61" s="3"/>
      <c r="U61" s="3"/>
      <c r="V61" s="3"/>
      <c r="W61" s="3"/>
      <c r="X61" s="3"/>
      <c r="Y61" s="3"/>
      <c r="Z61" s="3"/>
    </row>
    <row r="62">
      <c r="A62" s="7"/>
      <c r="B62" s="7"/>
      <c r="C62" s="3"/>
      <c r="D62" s="3"/>
      <c r="E62" s="3"/>
      <c r="F62" s="3"/>
      <c r="G62" s="3"/>
      <c r="H62" s="3"/>
      <c r="I62" s="3"/>
      <c r="J62" s="3"/>
      <c r="K62" s="3"/>
      <c r="L62" s="3"/>
      <c r="M62" s="3"/>
      <c r="N62" s="3"/>
      <c r="O62" s="3"/>
      <c r="P62" s="3"/>
      <c r="Q62" s="3"/>
      <c r="R62" s="3"/>
      <c r="S62" s="3"/>
      <c r="T62" s="3"/>
      <c r="U62" s="3"/>
      <c r="V62" s="3"/>
      <c r="W62" s="3"/>
      <c r="X62" s="3"/>
      <c r="Y62" s="3"/>
      <c r="Z62" s="3"/>
    </row>
    <row r="63">
      <c r="A63" s="7"/>
      <c r="B63" s="7"/>
      <c r="C63" s="3"/>
      <c r="D63" s="3"/>
      <c r="E63" s="3"/>
      <c r="F63" s="3"/>
      <c r="G63" s="3"/>
      <c r="H63" s="3"/>
      <c r="I63" s="3"/>
      <c r="J63" s="3"/>
      <c r="K63" s="3"/>
      <c r="L63" s="3"/>
      <c r="M63" s="3"/>
      <c r="N63" s="3"/>
      <c r="O63" s="3"/>
      <c r="P63" s="3"/>
      <c r="Q63" s="3"/>
      <c r="R63" s="3"/>
      <c r="S63" s="3"/>
      <c r="T63" s="3"/>
      <c r="U63" s="3"/>
      <c r="V63" s="3"/>
      <c r="W63" s="3"/>
      <c r="X63" s="3"/>
      <c r="Y63" s="3"/>
      <c r="Z63" s="3"/>
    </row>
    <row r="64">
      <c r="A64" s="7"/>
      <c r="B64" s="7"/>
      <c r="C64" s="3"/>
      <c r="D64" s="3"/>
      <c r="E64" s="3"/>
      <c r="F64" s="3"/>
      <c r="G64" s="3"/>
      <c r="H64" s="3"/>
      <c r="I64" s="3"/>
      <c r="J64" s="3"/>
      <c r="K64" s="3"/>
      <c r="L64" s="3"/>
      <c r="M64" s="3"/>
      <c r="N64" s="3"/>
      <c r="O64" s="3"/>
      <c r="P64" s="3"/>
      <c r="Q64" s="3"/>
      <c r="R64" s="3"/>
      <c r="S64" s="3"/>
      <c r="T64" s="3"/>
      <c r="U64" s="3"/>
      <c r="V64" s="3"/>
      <c r="W64" s="3"/>
      <c r="X64" s="3"/>
      <c r="Y64" s="3"/>
      <c r="Z64" s="3"/>
    </row>
    <row r="65">
      <c r="A65" s="7"/>
      <c r="B65" s="7"/>
      <c r="C65" s="3"/>
      <c r="D65" s="3"/>
      <c r="E65" s="3"/>
      <c r="F65" s="3"/>
      <c r="G65" s="3"/>
      <c r="H65" s="3"/>
      <c r="I65" s="3"/>
      <c r="J65" s="3"/>
      <c r="K65" s="3"/>
      <c r="L65" s="3"/>
      <c r="M65" s="3"/>
      <c r="N65" s="3"/>
      <c r="O65" s="3"/>
      <c r="P65" s="3"/>
      <c r="Q65" s="3"/>
      <c r="R65" s="3"/>
      <c r="S65" s="3"/>
      <c r="T65" s="3"/>
      <c r="U65" s="3"/>
      <c r="V65" s="3"/>
      <c r="W65" s="3"/>
      <c r="X65" s="3"/>
      <c r="Y65" s="3"/>
      <c r="Z65" s="3"/>
    </row>
    <row r="66">
      <c r="A66" s="1" t="s">
        <v>167</v>
      </c>
      <c r="B66" s="1" t="s">
        <v>168</v>
      </c>
      <c r="C66" s="3"/>
      <c r="D66" s="3"/>
      <c r="E66" s="3"/>
      <c r="F66" s="3"/>
      <c r="G66" s="3"/>
      <c r="H66" s="3"/>
      <c r="I66" s="3"/>
      <c r="J66" s="3"/>
      <c r="K66" s="3"/>
      <c r="L66" s="3"/>
      <c r="M66" s="3"/>
      <c r="N66" s="3"/>
      <c r="O66" s="3"/>
      <c r="P66" s="3"/>
      <c r="Q66" s="3"/>
      <c r="R66" s="3"/>
      <c r="S66" s="3"/>
      <c r="T66" s="3"/>
      <c r="U66" s="3"/>
      <c r="V66" s="3"/>
      <c r="W66" s="3"/>
      <c r="X66" s="3"/>
      <c r="Y66" s="3"/>
      <c r="Z66" s="3"/>
    </row>
    <row r="67">
      <c r="A67" s="1" t="s">
        <v>169</v>
      </c>
      <c r="B67" s="1" t="s">
        <v>170</v>
      </c>
      <c r="C67" s="3"/>
      <c r="D67" s="3"/>
      <c r="E67" s="3"/>
      <c r="F67" s="3"/>
      <c r="G67" s="3"/>
      <c r="H67" s="3"/>
      <c r="I67" s="3"/>
      <c r="J67" s="3"/>
      <c r="K67" s="3"/>
      <c r="L67" s="3"/>
      <c r="M67" s="3"/>
      <c r="N67" s="3"/>
      <c r="O67" s="3"/>
      <c r="P67" s="3"/>
      <c r="Q67" s="3"/>
      <c r="R67" s="3"/>
      <c r="S67" s="3"/>
      <c r="T67" s="3"/>
      <c r="U67" s="3"/>
      <c r="V67" s="3"/>
      <c r="W67" s="3"/>
      <c r="X67" s="3"/>
      <c r="Y67" s="3"/>
      <c r="Z67" s="3"/>
    </row>
    <row r="68">
      <c r="A68" s="1" t="s">
        <v>171</v>
      </c>
      <c r="B68" s="5" t="s">
        <v>172</v>
      </c>
      <c r="C68" s="3"/>
      <c r="D68" s="3"/>
      <c r="E68" s="3"/>
      <c r="F68" s="3"/>
      <c r="G68" s="3"/>
      <c r="H68" s="3"/>
      <c r="I68" s="3"/>
      <c r="J68" s="3"/>
      <c r="K68" s="3"/>
      <c r="L68" s="3"/>
      <c r="M68" s="3"/>
      <c r="N68" s="3"/>
      <c r="O68" s="3"/>
      <c r="P68" s="3"/>
      <c r="Q68" s="3"/>
      <c r="R68" s="3"/>
      <c r="S68" s="3"/>
      <c r="T68" s="3"/>
      <c r="U68" s="3"/>
      <c r="V68" s="3"/>
      <c r="W68" s="3"/>
      <c r="X68" s="3"/>
      <c r="Y68" s="3"/>
      <c r="Z68" s="3"/>
    </row>
    <row r="69">
      <c r="A69" s="1" t="s">
        <v>174</v>
      </c>
      <c r="B69" s="1" t="s">
        <v>175</v>
      </c>
      <c r="C69" s="3"/>
      <c r="D69" s="3"/>
      <c r="E69" s="3"/>
      <c r="F69" s="3"/>
      <c r="G69" s="3"/>
      <c r="H69" s="3"/>
      <c r="I69" s="3"/>
      <c r="J69" s="3"/>
      <c r="K69" s="3"/>
      <c r="L69" s="3"/>
      <c r="M69" s="3"/>
      <c r="N69" s="3"/>
      <c r="O69" s="3"/>
      <c r="P69" s="3"/>
      <c r="Q69" s="3"/>
      <c r="R69" s="3"/>
      <c r="S69" s="3"/>
      <c r="T69" s="3"/>
      <c r="U69" s="3"/>
      <c r="V69" s="3"/>
      <c r="W69" s="3"/>
      <c r="X69" s="3"/>
      <c r="Y69" s="3"/>
      <c r="Z69" s="3"/>
    </row>
    <row r="70">
      <c r="A70" s="1" t="s">
        <v>177</v>
      </c>
      <c r="B70" s="1" t="s">
        <v>178</v>
      </c>
      <c r="C70" s="3"/>
      <c r="D70" s="3"/>
      <c r="E70" s="3"/>
      <c r="F70" s="3"/>
      <c r="G70" s="3"/>
      <c r="H70" s="3"/>
      <c r="I70" s="3"/>
      <c r="J70" s="3"/>
      <c r="K70" s="3"/>
      <c r="L70" s="3"/>
      <c r="M70" s="3"/>
      <c r="N70" s="3"/>
      <c r="O70" s="3"/>
      <c r="P70" s="3"/>
      <c r="Q70" s="3"/>
      <c r="R70" s="3"/>
      <c r="S70" s="3"/>
      <c r="T70" s="3"/>
      <c r="U70" s="3"/>
      <c r="V70" s="3"/>
      <c r="W70" s="3"/>
      <c r="X70" s="3"/>
      <c r="Y70" s="3"/>
      <c r="Z70" s="3"/>
    </row>
    <row r="71">
      <c r="A71" s="1" t="s">
        <v>179</v>
      </c>
      <c r="B71" s="1" t="s">
        <v>180</v>
      </c>
      <c r="C71" s="3"/>
      <c r="D71" s="3"/>
      <c r="E71" s="3"/>
      <c r="F71" s="3"/>
      <c r="G71" s="3"/>
      <c r="H71" s="3"/>
      <c r="I71" s="3"/>
      <c r="J71" s="3"/>
      <c r="K71" s="3"/>
      <c r="L71" s="3"/>
      <c r="M71" s="3"/>
      <c r="N71" s="3"/>
      <c r="O71" s="3"/>
      <c r="P71" s="3"/>
      <c r="Q71" s="3"/>
      <c r="R71" s="3"/>
      <c r="S71" s="3"/>
      <c r="T71" s="3"/>
      <c r="U71" s="3"/>
      <c r="V71" s="3"/>
      <c r="W71" s="3"/>
      <c r="X71" s="3"/>
      <c r="Y71" s="3"/>
      <c r="Z71" s="3"/>
    </row>
    <row r="72">
      <c r="A72" s="1" t="s">
        <v>181</v>
      </c>
      <c r="B72" s="1" t="s">
        <v>182</v>
      </c>
      <c r="C72" s="3"/>
      <c r="D72" s="3"/>
      <c r="E72" s="3"/>
      <c r="F72" s="3"/>
      <c r="G72" s="3"/>
      <c r="H72" s="3"/>
      <c r="I72" s="3"/>
      <c r="J72" s="3"/>
      <c r="K72" s="3"/>
      <c r="L72" s="3"/>
      <c r="M72" s="3"/>
      <c r="N72" s="3"/>
      <c r="O72" s="3"/>
      <c r="P72" s="3"/>
      <c r="Q72" s="3"/>
      <c r="R72" s="3"/>
      <c r="S72" s="3"/>
      <c r="T72" s="3"/>
      <c r="U72" s="3"/>
      <c r="V72" s="3"/>
      <c r="W72" s="3"/>
      <c r="X72" s="3"/>
      <c r="Y72" s="3"/>
      <c r="Z72" s="3"/>
    </row>
    <row r="73">
      <c r="A73" s="1" t="s">
        <v>184</v>
      </c>
      <c r="B73" s="1" t="s">
        <v>185</v>
      </c>
      <c r="C73" s="3"/>
      <c r="D73" s="3"/>
      <c r="E73" s="3"/>
      <c r="F73" s="3"/>
      <c r="G73" s="3"/>
      <c r="H73" s="3"/>
      <c r="I73" s="3"/>
      <c r="J73" s="3"/>
      <c r="K73" s="3"/>
      <c r="L73" s="3"/>
      <c r="M73" s="3"/>
      <c r="N73" s="3"/>
      <c r="O73" s="3"/>
      <c r="P73" s="3"/>
      <c r="Q73" s="3"/>
      <c r="R73" s="3"/>
      <c r="S73" s="3"/>
      <c r="T73" s="3"/>
      <c r="U73" s="3"/>
      <c r="V73" s="3"/>
      <c r="W73" s="3"/>
      <c r="X73" s="3"/>
      <c r="Y73" s="3"/>
      <c r="Z73" s="3"/>
    </row>
    <row r="74">
      <c r="A74" s="1" t="s">
        <v>187</v>
      </c>
      <c r="B74" s="1" t="s">
        <v>188</v>
      </c>
      <c r="C74" s="3"/>
      <c r="D74" s="3"/>
      <c r="E74" s="3"/>
      <c r="F74" s="3"/>
      <c r="G74" s="3"/>
      <c r="H74" s="3"/>
      <c r="I74" s="3"/>
      <c r="J74" s="3"/>
      <c r="K74" s="3"/>
      <c r="L74" s="3"/>
      <c r="M74" s="3"/>
      <c r="N74" s="3"/>
      <c r="O74" s="3"/>
      <c r="P74" s="3"/>
      <c r="Q74" s="3"/>
      <c r="R74" s="3"/>
      <c r="S74" s="3"/>
      <c r="T74" s="3"/>
      <c r="U74" s="3"/>
      <c r="V74" s="3"/>
      <c r="W74" s="3"/>
      <c r="X74" s="3"/>
      <c r="Y74" s="3"/>
      <c r="Z74" s="3"/>
    </row>
    <row r="75">
      <c r="A75" s="1" t="s">
        <v>191</v>
      </c>
      <c r="B75" s="1" t="s">
        <v>192</v>
      </c>
      <c r="C75" s="3"/>
      <c r="D75" s="3"/>
      <c r="E75" s="3"/>
      <c r="F75" s="3"/>
      <c r="G75" s="3"/>
      <c r="H75" s="3"/>
      <c r="I75" s="3"/>
      <c r="J75" s="3"/>
      <c r="K75" s="3"/>
      <c r="L75" s="3"/>
      <c r="M75" s="3"/>
      <c r="N75" s="3"/>
      <c r="O75" s="3"/>
      <c r="P75" s="3"/>
      <c r="Q75" s="3"/>
      <c r="R75" s="3"/>
      <c r="S75" s="3"/>
      <c r="T75" s="3"/>
      <c r="U75" s="3"/>
      <c r="V75" s="3"/>
      <c r="W75" s="3"/>
      <c r="X75" s="3"/>
      <c r="Y75" s="3"/>
      <c r="Z75" s="3"/>
    </row>
    <row r="76">
      <c r="A76" s="1" t="s">
        <v>193</v>
      </c>
      <c r="B76" s="1" t="s">
        <v>194</v>
      </c>
      <c r="C76" s="3"/>
      <c r="D76" s="3"/>
      <c r="E76" s="3"/>
      <c r="F76" s="3"/>
      <c r="G76" s="3"/>
      <c r="H76" s="3"/>
      <c r="I76" s="3"/>
      <c r="J76" s="3"/>
      <c r="K76" s="3"/>
      <c r="L76" s="3"/>
      <c r="M76" s="3"/>
      <c r="N76" s="3"/>
      <c r="O76" s="3"/>
      <c r="P76" s="3"/>
      <c r="Q76" s="3"/>
      <c r="R76" s="3"/>
      <c r="S76" s="3"/>
      <c r="T76" s="3"/>
      <c r="U76" s="3"/>
      <c r="V76" s="3"/>
      <c r="W76" s="3"/>
      <c r="X76" s="3"/>
      <c r="Y76" s="3"/>
      <c r="Z76" s="3"/>
    </row>
    <row r="77">
      <c r="A77" s="1" t="s">
        <v>195</v>
      </c>
      <c r="B77" s="16" t="s">
        <v>196</v>
      </c>
      <c r="C77" s="3"/>
      <c r="D77" s="3"/>
      <c r="E77" s="3"/>
      <c r="F77" s="3"/>
      <c r="G77" s="3"/>
      <c r="H77" s="3"/>
      <c r="I77" s="3"/>
      <c r="J77" s="3"/>
      <c r="K77" s="3"/>
      <c r="L77" s="3"/>
      <c r="M77" s="3"/>
      <c r="N77" s="3"/>
      <c r="O77" s="3"/>
      <c r="P77" s="3"/>
      <c r="Q77" s="3"/>
      <c r="R77" s="3"/>
      <c r="S77" s="3"/>
      <c r="T77" s="3"/>
      <c r="U77" s="3"/>
      <c r="V77" s="3"/>
      <c r="W77" s="3"/>
      <c r="X77" s="3"/>
      <c r="Y77" s="3"/>
      <c r="Z77" s="3"/>
    </row>
    <row r="78">
      <c r="A78" s="1" t="s">
        <v>197</v>
      </c>
      <c r="B78" s="1" t="s">
        <v>198</v>
      </c>
      <c r="C78" s="3"/>
      <c r="D78" s="3"/>
      <c r="E78" s="3"/>
      <c r="F78" s="3"/>
      <c r="G78" s="3"/>
      <c r="H78" s="3"/>
      <c r="I78" s="3"/>
      <c r="J78" s="3"/>
      <c r="K78" s="3"/>
      <c r="L78" s="3"/>
      <c r="M78" s="3"/>
      <c r="N78" s="3"/>
      <c r="O78" s="3"/>
      <c r="P78" s="3"/>
      <c r="Q78" s="3"/>
      <c r="R78" s="3"/>
      <c r="S78" s="3"/>
      <c r="T78" s="3"/>
      <c r="U78" s="3"/>
      <c r="V78" s="3"/>
      <c r="W78" s="3"/>
      <c r="X78" s="3"/>
      <c r="Y78" s="3"/>
      <c r="Z78" s="3"/>
    </row>
    <row r="79">
      <c r="A79" s="1" t="s">
        <v>200</v>
      </c>
      <c r="B79" s="1" t="s">
        <v>201</v>
      </c>
      <c r="C79" s="3"/>
      <c r="D79" s="3"/>
      <c r="E79" s="3"/>
      <c r="F79" s="3"/>
      <c r="G79" s="3"/>
      <c r="H79" s="3"/>
      <c r="I79" s="3"/>
      <c r="J79" s="3"/>
      <c r="K79" s="3"/>
      <c r="L79" s="3"/>
      <c r="M79" s="3"/>
      <c r="N79" s="3"/>
      <c r="O79" s="3"/>
      <c r="P79" s="3"/>
      <c r="Q79" s="3"/>
      <c r="R79" s="3"/>
      <c r="S79" s="3"/>
      <c r="T79" s="3"/>
      <c r="U79" s="3"/>
      <c r="V79" s="3"/>
      <c r="W79" s="3"/>
      <c r="X79" s="3"/>
      <c r="Y79" s="3"/>
      <c r="Z79" s="3"/>
    </row>
    <row r="80">
      <c r="A80" s="7"/>
      <c r="B80" s="7"/>
      <c r="C80" s="3"/>
      <c r="D80" s="3"/>
      <c r="E80" s="3"/>
      <c r="F80" s="3"/>
      <c r="G80" s="3"/>
      <c r="H80" s="3"/>
      <c r="I80" s="3"/>
      <c r="J80" s="3"/>
      <c r="K80" s="3"/>
      <c r="L80" s="3"/>
      <c r="M80" s="3"/>
      <c r="N80" s="3"/>
      <c r="O80" s="3"/>
      <c r="P80" s="3"/>
      <c r="Q80" s="3"/>
      <c r="R80" s="3"/>
      <c r="S80" s="3"/>
      <c r="T80" s="3"/>
      <c r="U80" s="3"/>
      <c r="V80" s="3"/>
      <c r="W80" s="3"/>
      <c r="X80" s="3"/>
      <c r="Y80" s="3"/>
      <c r="Z80" s="3"/>
    </row>
    <row r="81">
      <c r="A81" s="7"/>
      <c r="B81" s="7"/>
      <c r="C81" s="3"/>
      <c r="D81" s="3"/>
      <c r="E81" s="3"/>
      <c r="F81" s="3"/>
      <c r="G81" s="3"/>
      <c r="H81" s="3"/>
      <c r="I81" s="3"/>
      <c r="J81" s="3"/>
      <c r="K81" s="3"/>
      <c r="L81" s="3"/>
      <c r="M81" s="3"/>
      <c r="N81" s="3"/>
      <c r="O81" s="3"/>
      <c r="P81" s="3"/>
      <c r="Q81" s="3"/>
      <c r="R81" s="3"/>
      <c r="S81" s="3"/>
      <c r="T81" s="3"/>
      <c r="U81" s="3"/>
      <c r="V81" s="3"/>
      <c r="W81" s="3"/>
      <c r="X81" s="3"/>
      <c r="Y81" s="3"/>
      <c r="Z81" s="3"/>
    </row>
    <row r="82">
      <c r="A82" s="17"/>
      <c r="B82" s="17"/>
      <c r="C82" s="3"/>
      <c r="D82" s="3"/>
      <c r="E82" s="3"/>
      <c r="F82" s="3"/>
      <c r="G82" s="3"/>
      <c r="H82" s="3"/>
      <c r="I82" s="3"/>
      <c r="J82" s="3"/>
      <c r="K82" s="3"/>
      <c r="L82" s="3"/>
      <c r="M82" s="3"/>
      <c r="N82" s="3"/>
      <c r="O82" s="3"/>
      <c r="P82" s="3"/>
      <c r="Q82" s="3"/>
      <c r="R82" s="3"/>
      <c r="S82" s="3"/>
      <c r="T82" s="3"/>
      <c r="U82" s="3"/>
      <c r="V82" s="3"/>
      <c r="W82" s="3"/>
      <c r="X82" s="3"/>
      <c r="Y82" s="3"/>
      <c r="Z82" s="3"/>
    </row>
    <row r="83">
      <c r="A83" s="17"/>
      <c r="B83" s="17"/>
      <c r="C83" s="3"/>
      <c r="D83" s="3"/>
      <c r="E83" s="3"/>
      <c r="F83" s="3"/>
      <c r="G83" s="3"/>
      <c r="H83" s="3"/>
      <c r="I83" s="3"/>
      <c r="J83" s="3"/>
      <c r="K83" s="3"/>
      <c r="L83" s="3"/>
      <c r="M83" s="3"/>
      <c r="N83" s="3"/>
      <c r="O83" s="3"/>
      <c r="P83" s="3"/>
      <c r="Q83" s="3"/>
      <c r="R83" s="3"/>
      <c r="S83" s="3"/>
      <c r="T83" s="3"/>
      <c r="U83" s="3"/>
      <c r="V83" s="3"/>
      <c r="W83" s="3"/>
      <c r="X83" s="3"/>
      <c r="Y83" s="3"/>
      <c r="Z83" s="3"/>
    </row>
    <row r="84">
      <c r="A84" s="17"/>
      <c r="B84" s="17"/>
      <c r="C84" s="3"/>
      <c r="D84" s="3"/>
      <c r="E84" s="3"/>
      <c r="F84" s="3"/>
      <c r="G84" s="3"/>
      <c r="H84" s="3"/>
      <c r="I84" s="3"/>
      <c r="J84" s="3"/>
      <c r="K84" s="3"/>
      <c r="L84" s="3"/>
      <c r="M84" s="3"/>
      <c r="N84" s="3"/>
      <c r="O84" s="3"/>
      <c r="P84" s="3"/>
      <c r="Q84" s="3"/>
      <c r="R84" s="3"/>
      <c r="S84" s="3"/>
      <c r="T84" s="3"/>
      <c r="U84" s="3"/>
      <c r="V84" s="3"/>
      <c r="W84" s="3"/>
      <c r="X84" s="3"/>
      <c r="Y84" s="3"/>
      <c r="Z84" s="3"/>
    </row>
    <row r="85">
      <c r="A85" s="17"/>
      <c r="B85" s="17"/>
      <c r="C85" s="3"/>
      <c r="D85" s="3"/>
      <c r="E85" s="3"/>
      <c r="F85" s="3"/>
      <c r="G85" s="3"/>
      <c r="H85" s="3"/>
      <c r="I85" s="3"/>
      <c r="J85" s="3"/>
      <c r="K85" s="3"/>
      <c r="L85" s="3"/>
      <c r="M85" s="3"/>
      <c r="N85" s="3"/>
      <c r="O85" s="3"/>
      <c r="P85" s="3"/>
      <c r="Q85" s="3"/>
      <c r="R85" s="3"/>
      <c r="S85" s="3"/>
      <c r="T85" s="3"/>
      <c r="U85" s="3"/>
      <c r="V85" s="3"/>
      <c r="W85" s="3"/>
      <c r="X85" s="3"/>
      <c r="Y85" s="3"/>
      <c r="Z85" s="3"/>
    </row>
    <row r="86">
      <c r="A86" s="17"/>
      <c r="B86" s="17"/>
      <c r="C86" s="3"/>
      <c r="D86" s="3"/>
      <c r="E86" s="3"/>
      <c r="F86" s="3"/>
      <c r="G86" s="3"/>
      <c r="H86" s="3"/>
      <c r="I86" s="3"/>
      <c r="J86" s="3"/>
      <c r="K86" s="3"/>
      <c r="L86" s="3"/>
      <c r="M86" s="3"/>
      <c r="N86" s="3"/>
      <c r="O86" s="3"/>
      <c r="P86" s="3"/>
      <c r="Q86" s="3"/>
      <c r="R86" s="3"/>
      <c r="S86" s="3"/>
      <c r="T86" s="3"/>
      <c r="U86" s="3"/>
      <c r="V86" s="3"/>
      <c r="W86" s="3"/>
      <c r="X86" s="3"/>
      <c r="Y86" s="3"/>
      <c r="Z86" s="3"/>
    </row>
    <row r="87">
      <c r="A87" s="5" t="s">
        <v>205</v>
      </c>
      <c r="B87" s="5" t="s">
        <v>206</v>
      </c>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17"/>
      <c r="B91" s="17"/>
      <c r="C91" s="3"/>
      <c r="D91" s="3"/>
      <c r="E91" s="3"/>
      <c r="F91" s="3"/>
      <c r="G91" s="3"/>
      <c r="H91" s="3"/>
      <c r="I91" s="3"/>
      <c r="J91" s="3"/>
      <c r="K91" s="3"/>
      <c r="L91" s="3"/>
      <c r="M91" s="3"/>
      <c r="N91" s="3"/>
      <c r="O91" s="3"/>
      <c r="P91" s="3"/>
      <c r="Q91" s="3"/>
      <c r="R91" s="3"/>
      <c r="S91" s="3"/>
      <c r="T91" s="3"/>
      <c r="U91" s="3"/>
      <c r="V91" s="3"/>
      <c r="W91" s="3"/>
      <c r="X91" s="3"/>
      <c r="Y91" s="3"/>
      <c r="Z91" s="3"/>
    </row>
    <row r="92">
      <c r="A92" s="17"/>
      <c r="B92" s="17"/>
      <c r="C92" s="3"/>
      <c r="D92" s="3"/>
      <c r="E92" s="3"/>
      <c r="F92" s="3"/>
      <c r="G92" s="3"/>
      <c r="H92" s="3"/>
      <c r="I92" s="3"/>
      <c r="J92" s="3"/>
      <c r="K92" s="3"/>
      <c r="L92" s="3"/>
      <c r="M92" s="3"/>
      <c r="N92" s="3"/>
      <c r="O92" s="3"/>
      <c r="P92" s="3"/>
      <c r="Q92" s="3"/>
      <c r="R92" s="3"/>
      <c r="S92" s="3"/>
      <c r="T92" s="3"/>
      <c r="U92" s="3"/>
      <c r="V92" s="3"/>
      <c r="W92" s="3"/>
      <c r="X92" s="3"/>
      <c r="Y92" s="3"/>
      <c r="Z92" s="3"/>
    </row>
    <row r="93">
      <c r="A93" s="17"/>
      <c r="B93" s="3"/>
      <c r="C93" s="3"/>
      <c r="D93" s="3"/>
      <c r="E93" s="3"/>
      <c r="F93" s="3"/>
      <c r="G93" s="3"/>
      <c r="H93" s="3"/>
      <c r="I93" s="3"/>
      <c r="J93" s="3"/>
      <c r="K93" s="3"/>
      <c r="L93" s="3"/>
      <c r="M93" s="3"/>
      <c r="N93" s="3"/>
      <c r="O93" s="3"/>
      <c r="P93" s="3"/>
      <c r="Q93" s="3"/>
      <c r="R93" s="3"/>
      <c r="S93" s="3"/>
      <c r="T93" s="3"/>
      <c r="U93" s="3"/>
      <c r="V93" s="3"/>
      <c r="W93" s="3"/>
      <c r="X93" s="3"/>
      <c r="Y93" s="3"/>
      <c r="Z93" s="3"/>
    </row>
    <row r="94">
      <c r="A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7.88"/>
    <col customWidth="1" min="4" max="4" width="17.5"/>
    <col customWidth="1" min="5" max="5" width="16.63"/>
  </cols>
  <sheetData>
    <row r="1">
      <c r="A1" s="2" t="s">
        <v>2</v>
      </c>
      <c r="B1" s="2" t="s">
        <v>4</v>
      </c>
      <c r="C1" s="2" t="s">
        <v>5</v>
      </c>
      <c r="D1" s="4" t="s">
        <v>6</v>
      </c>
      <c r="E1" s="4" t="s">
        <v>11</v>
      </c>
    </row>
    <row r="2">
      <c r="A2" s="6" t="s">
        <v>7</v>
      </c>
      <c r="B2" s="9">
        <v>13600.0</v>
      </c>
      <c r="C2" s="13">
        <v>84.0</v>
      </c>
      <c r="D2" s="15">
        <f t="shared" ref="D2:D67" si="1">B2/$B$68</f>
        <v>0.6384976526</v>
      </c>
      <c r="E2" s="15">
        <f t="shared" ref="E2:E67" si="2">C2/$C$68</f>
        <v>0.3294117647</v>
      </c>
    </row>
    <row r="3">
      <c r="A3" s="6" t="s">
        <v>16</v>
      </c>
      <c r="B3" s="9">
        <v>13500.0</v>
      </c>
      <c r="C3" s="13">
        <v>193.0</v>
      </c>
      <c r="D3" s="15">
        <f t="shared" si="1"/>
        <v>0.6338028169</v>
      </c>
      <c r="E3" s="15">
        <f t="shared" si="2"/>
        <v>0.7568627451</v>
      </c>
    </row>
    <row r="4">
      <c r="A4" s="6" t="s">
        <v>23</v>
      </c>
      <c r="B4" s="9">
        <v>10000.0</v>
      </c>
      <c r="C4" s="13">
        <v>238.0</v>
      </c>
      <c r="D4" s="15">
        <f t="shared" si="1"/>
        <v>0.4694835681</v>
      </c>
      <c r="E4" s="15">
        <f t="shared" si="2"/>
        <v>0.9333333333</v>
      </c>
    </row>
    <row r="5">
      <c r="A5" s="6" t="s">
        <v>28</v>
      </c>
      <c r="B5" s="9">
        <v>3500.0</v>
      </c>
      <c r="C5" s="13">
        <v>255.0</v>
      </c>
      <c r="D5" s="15">
        <f t="shared" si="1"/>
        <v>0.1643192488</v>
      </c>
      <c r="E5" s="15">
        <f t="shared" si="2"/>
        <v>1</v>
      </c>
    </row>
    <row r="6">
      <c r="A6" s="6" t="s">
        <v>31</v>
      </c>
      <c r="B6" s="9">
        <v>10500.0</v>
      </c>
      <c r="C6" s="13">
        <v>60.0</v>
      </c>
      <c r="D6" s="15">
        <f t="shared" si="1"/>
        <v>0.4929577465</v>
      </c>
      <c r="E6" s="15">
        <f t="shared" si="2"/>
        <v>0.2352941176</v>
      </c>
    </row>
    <row r="7">
      <c r="A7" s="6" t="s">
        <v>34</v>
      </c>
      <c r="B7" s="9">
        <v>6500.0</v>
      </c>
      <c r="C7" s="13">
        <v>97.0</v>
      </c>
      <c r="D7" s="15">
        <f t="shared" si="1"/>
        <v>0.3051643192</v>
      </c>
      <c r="E7" s="15">
        <f t="shared" si="2"/>
        <v>0.3803921569</v>
      </c>
    </row>
    <row r="8">
      <c r="A8" s="6" t="s">
        <v>109</v>
      </c>
      <c r="B8" s="9">
        <v>6500.0</v>
      </c>
      <c r="C8" s="13">
        <v>41.0</v>
      </c>
      <c r="D8" s="15">
        <f t="shared" si="1"/>
        <v>0.3051643192</v>
      </c>
      <c r="E8" s="15">
        <f t="shared" si="2"/>
        <v>0.1607843137</v>
      </c>
    </row>
    <row r="9">
      <c r="A9" s="6" t="s">
        <v>41</v>
      </c>
      <c r="B9" s="9">
        <v>13000.0</v>
      </c>
      <c r="C9" s="13">
        <v>86.0</v>
      </c>
      <c r="D9" s="15">
        <f t="shared" si="1"/>
        <v>0.6103286385</v>
      </c>
      <c r="E9" s="15">
        <f t="shared" si="2"/>
        <v>0.337254902</v>
      </c>
    </row>
    <row r="10">
      <c r="A10" s="6" t="s">
        <v>48</v>
      </c>
      <c r="B10" s="9">
        <v>9500.0</v>
      </c>
      <c r="C10" s="13">
        <v>103.0</v>
      </c>
      <c r="D10" s="15">
        <f t="shared" si="1"/>
        <v>0.4460093897</v>
      </c>
      <c r="E10" s="15">
        <f t="shared" si="2"/>
        <v>0.4039215686</v>
      </c>
    </row>
    <row r="11">
      <c r="A11" s="6" t="s">
        <v>54</v>
      </c>
      <c r="B11" s="9">
        <v>6500.0</v>
      </c>
      <c r="C11" s="13">
        <v>91.0</v>
      </c>
      <c r="D11" s="15">
        <f t="shared" si="1"/>
        <v>0.3051643192</v>
      </c>
      <c r="E11" s="15">
        <f t="shared" si="2"/>
        <v>0.3568627451</v>
      </c>
    </row>
    <row r="12">
      <c r="A12" s="6" t="s">
        <v>58</v>
      </c>
      <c r="B12" s="9">
        <v>6500.0</v>
      </c>
      <c r="C12" s="13">
        <v>66.0</v>
      </c>
      <c r="D12" s="15">
        <f t="shared" si="1"/>
        <v>0.3051643192</v>
      </c>
      <c r="E12" s="15">
        <f t="shared" si="2"/>
        <v>0.2588235294</v>
      </c>
    </row>
    <row r="13">
      <c r="A13" s="6" t="s">
        <v>123</v>
      </c>
      <c r="B13" s="9">
        <v>6500.0</v>
      </c>
      <c r="C13" s="13">
        <v>94.0</v>
      </c>
      <c r="D13" s="15">
        <f t="shared" si="1"/>
        <v>0.3051643192</v>
      </c>
      <c r="E13" s="15">
        <f t="shared" si="2"/>
        <v>0.368627451</v>
      </c>
    </row>
    <row r="14">
      <c r="A14" s="6" t="s">
        <v>62</v>
      </c>
      <c r="B14" s="9">
        <v>13500.0</v>
      </c>
      <c r="C14" s="13">
        <v>68.0</v>
      </c>
      <c r="D14" s="15">
        <f t="shared" si="1"/>
        <v>0.6338028169</v>
      </c>
      <c r="E14" s="15">
        <f t="shared" si="2"/>
        <v>0.2666666667</v>
      </c>
    </row>
    <row r="15">
      <c r="A15" s="6" t="s">
        <v>67</v>
      </c>
      <c r="B15" s="9">
        <v>3500.0</v>
      </c>
      <c r="C15" s="13">
        <v>70.0</v>
      </c>
      <c r="D15" s="15">
        <f t="shared" si="1"/>
        <v>0.1643192488</v>
      </c>
      <c r="E15" s="15">
        <f t="shared" si="2"/>
        <v>0.2745098039</v>
      </c>
    </row>
    <row r="16">
      <c r="A16" s="6" t="s">
        <v>70</v>
      </c>
      <c r="B16" s="9">
        <v>6500.0</v>
      </c>
      <c r="C16" s="13">
        <v>70.0</v>
      </c>
      <c r="D16" s="15">
        <f t="shared" si="1"/>
        <v>0.3051643192</v>
      </c>
      <c r="E16" s="15">
        <f t="shared" si="2"/>
        <v>0.2745098039</v>
      </c>
    </row>
    <row r="17">
      <c r="A17" s="6" t="s">
        <v>74</v>
      </c>
      <c r="B17" s="9">
        <v>6500.0</v>
      </c>
      <c r="C17" s="13">
        <v>86.0</v>
      </c>
      <c r="D17" s="15">
        <f t="shared" si="1"/>
        <v>0.3051643192</v>
      </c>
      <c r="E17" s="15">
        <f t="shared" si="2"/>
        <v>0.337254902</v>
      </c>
    </row>
    <row r="18">
      <c r="A18" s="6" t="s">
        <v>76</v>
      </c>
      <c r="B18" s="9">
        <v>6500.0</v>
      </c>
      <c r="C18" s="13">
        <v>84.0</v>
      </c>
      <c r="D18" s="15">
        <f t="shared" si="1"/>
        <v>0.3051643192</v>
      </c>
      <c r="E18" s="15">
        <f t="shared" si="2"/>
        <v>0.3294117647</v>
      </c>
    </row>
    <row r="19">
      <c r="A19" s="6" t="s">
        <v>78</v>
      </c>
      <c r="B19" s="9">
        <v>6500.0</v>
      </c>
      <c r="C19" s="13">
        <v>79.0</v>
      </c>
      <c r="D19" s="15">
        <f t="shared" si="1"/>
        <v>0.3051643192</v>
      </c>
      <c r="E19" s="15">
        <f t="shared" si="2"/>
        <v>0.3098039216</v>
      </c>
    </row>
    <row r="20">
      <c r="A20" s="6" t="s">
        <v>81</v>
      </c>
      <c r="B20" s="9">
        <v>6500.0</v>
      </c>
      <c r="C20" s="13">
        <v>86.0</v>
      </c>
      <c r="D20" s="15">
        <f t="shared" si="1"/>
        <v>0.3051643192</v>
      </c>
      <c r="E20" s="15">
        <f t="shared" si="2"/>
        <v>0.337254902</v>
      </c>
    </row>
    <row r="21">
      <c r="A21" s="6" t="s">
        <v>83</v>
      </c>
      <c r="B21" s="9">
        <v>6500.0</v>
      </c>
      <c r="C21" s="13">
        <v>62.0</v>
      </c>
      <c r="D21" s="15">
        <f t="shared" si="1"/>
        <v>0.3051643192</v>
      </c>
      <c r="E21" s="15">
        <f t="shared" si="2"/>
        <v>0.2431372549</v>
      </c>
    </row>
    <row r="22">
      <c r="A22" s="6" t="s">
        <v>85</v>
      </c>
      <c r="B22" s="9">
        <v>6500.0</v>
      </c>
      <c r="C22" s="13">
        <v>66.0</v>
      </c>
      <c r="D22" s="15">
        <f t="shared" si="1"/>
        <v>0.3051643192</v>
      </c>
      <c r="E22" s="15">
        <f t="shared" si="2"/>
        <v>0.2588235294</v>
      </c>
    </row>
    <row r="23">
      <c r="A23" s="6" t="s">
        <v>88</v>
      </c>
      <c r="B23" s="9">
        <v>11500.0</v>
      </c>
      <c r="C23" s="13">
        <v>86.0</v>
      </c>
      <c r="D23" s="15">
        <f t="shared" si="1"/>
        <v>0.5399061033</v>
      </c>
      <c r="E23" s="15">
        <f t="shared" si="2"/>
        <v>0.337254902</v>
      </c>
    </row>
    <row r="24">
      <c r="A24" s="6" t="s">
        <v>90</v>
      </c>
      <c r="B24" s="9">
        <v>6500.0</v>
      </c>
      <c r="C24" s="13">
        <v>86.0</v>
      </c>
      <c r="D24" s="15">
        <f t="shared" si="1"/>
        <v>0.3051643192</v>
      </c>
      <c r="E24" s="15">
        <f t="shared" si="2"/>
        <v>0.337254902</v>
      </c>
    </row>
    <row r="25">
      <c r="A25" s="6" t="s">
        <v>92</v>
      </c>
      <c r="B25" s="9">
        <v>6500.0</v>
      </c>
      <c r="C25" s="13">
        <v>69.0</v>
      </c>
      <c r="D25" s="15">
        <f t="shared" si="1"/>
        <v>0.3051643192</v>
      </c>
      <c r="E25" s="15">
        <f t="shared" si="2"/>
        <v>0.2705882353</v>
      </c>
    </row>
    <row r="26">
      <c r="A26" s="6" t="s">
        <v>96</v>
      </c>
      <c r="B26" s="9">
        <v>6500.0</v>
      </c>
      <c r="C26" s="13">
        <v>40.0</v>
      </c>
      <c r="D26" s="15">
        <f t="shared" si="1"/>
        <v>0.3051643192</v>
      </c>
      <c r="E26" s="15">
        <f t="shared" si="2"/>
        <v>0.1568627451</v>
      </c>
    </row>
    <row r="27">
      <c r="A27" s="6" t="s">
        <v>99</v>
      </c>
      <c r="B27" s="9">
        <v>6500.0</v>
      </c>
      <c r="C27" s="13">
        <v>110.0</v>
      </c>
      <c r="D27" s="15">
        <f t="shared" si="1"/>
        <v>0.3051643192</v>
      </c>
      <c r="E27" s="15">
        <f t="shared" si="2"/>
        <v>0.431372549</v>
      </c>
    </row>
    <row r="28">
      <c r="A28" s="6" t="s">
        <v>102</v>
      </c>
      <c r="B28" s="9">
        <v>6500.0</v>
      </c>
      <c r="C28" s="13">
        <v>41.0</v>
      </c>
      <c r="D28" s="15">
        <f t="shared" si="1"/>
        <v>0.3051643192</v>
      </c>
      <c r="E28" s="15">
        <f t="shared" si="2"/>
        <v>0.1607843137</v>
      </c>
    </row>
    <row r="29">
      <c r="A29" s="6" t="s">
        <v>104</v>
      </c>
      <c r="B29" s="9">
        <v>6500.0</v>
      </c>
      <c r="C29" s="13">
        <v>86.0</v>
      </c>
      <c r="D29" s="15">
        <f t="shared" si="1"/>
        <v>0.3051643192</v>
      </c>
      <c r="E29" s="15">
        <f t="shared" si="2"/>
        <v>0.337254902</v>
      </c>
    </row>
    <row r="30">
      <c r="A30" s="6" t="s">
        <v>106</v>
      </c>
      <c r="B30" s="9">
        <v>16000.0</v>
      </c>
      <c r="C30" s="13">
        <v>103.0</v>
      </c>
      <c r="D30" s="15">
        <f t="shared" si="1"/>
        <v>0.7511737089</v>
      </c>
      <c r="E30" s="15">
        <f t="shared" si="2"/>
        <v>0.4039215686</v>
      </c>
    </row>
    <row r="31">
      <c r="A31" s="6" t="s">
        <v>111</v>
      </c>
      <c r="B31" s="9">
        <v>12500.0</v>
      </c>
      <c r="C31" s="13">
        <v>61.0</v>
      </c>
      <c r="D31" s="15">
        <f t="shared" si="1"/>
        <v>0.5868544601</v>
      </c>
      <c r="E31" s="15">
        <f t="shared" si="2"/>
        <v>0.2392156863</v>
      </c>
    </row>
    <row r="32">
      <c r="A32" s="6" t="s">
        <v>117</v>
      </c>
      <c r="B32" s="9">
        <v>9500.0</v>
      </c>
      <c r="C32" s="13">
        <v>68.0</v>
      </c>
      <c r="D32" s="15">
        <f t="shared" si="1"/>
        <v>0.4460093897</v>
      </c>
      <c r="E32" s="15">
        <f t="shared" si="2"/>
        <v>0.2666666667</v>
      </c>
    </row>
    <row r="33">
      <c r="A33" s="6" t="s">
        <v>119</v>
      </c>
      <c r="B33" s="9">
        <v>12200.0</v>
      </c>
      <c r="C33" s="13">
        <v>63.0</v>
      </c>
      <c r="D33" s="15">
        <f t="shared" si="1"/>
        <v>0.5727699531</v>
      </c>
      <c r="E33" s="15">
        <f t="shared" si="2"/>
        <v>0.2470588235</v>
      </c>
    </row>
    <row r="34">
      <c r="A34" s="6" t="s">
        <v>121</v>
      </c>
      <c r="B34" s="9">
        <v>12200.0</v>
      </c>
      <c r="C34" s="13">
        <v>79.0</v>
      </c>
      <c r="D34" s="15">
        <f t="shared" si="1"/>
        <v>0.5727699531</v>
      </c>
      <c r="E34" s="15">
        <f t="shared" si="2"/>
        <v>0.3098039216</v>
      </c>
    </row>
    <row r="35">
      <c r="A35" s="6" t="s">
        <v>124</v>
      </c>
      <c r="B35" s="9">
        <v>12200.0</v>
      </c>
      <c r="C35" s="13">
        <v>77.0</v>
      </c>
      <c r="D35" s="15">
        <f t="shared" si="1"/>
        <v>0.5727699531</v>
      </c>
      <c r="E35" s="15">
        <f t="shared" si="2"/>
        <v>0.3019607843</v>
      </c>
    </row>
    <row r="36">
      <c r="A36" s="6" t="s">
        <v>126</v>
      </c>
      <c r="B36" s="9">
        <v>12200.0</v>
      </c>
      <c r="C36" s="13">
        <v>72.0</v>
      </c>
      <c r="D36" s="15">
        <f t="shared" si="1"/>
        <v>0.5727699531</v>
      </c>
      <c r="E36" s="15">
        <f t="shared" si="2"/>
        <v>0.2823529412</v>
      </c>
    </row>
    <row r="37">
      <c r="A37" s="6" t="s">
        <v>130</v>
      </c>
      <c r="B37" s="9">
        <v>12200.0</v>
      </c>
      <c r="C37" s="13">
        <v>79.0</v>
      </c>
      <c r="D37" s="15">
        <f t="shared" si="1"/>
        <v>0.5727699531</v>
      </c>
      <c r="E37" s="15">
        <f t="shared" si="2"/>
        <v>0.3098039216</v>
      </c>
    </row>
    <row r="38">
      <c r="A38" s="6" t="s">
        <v>132</v>
      </c>
      <c r="B38" s="9">
        <v>12200.0</v>
      </c>
      <c r="C38" s="13">
        <v>151.0</v>
      </c>
      <c r="D38" s="15">
        <f t="shared" si="1"/>
        <v>0.5727699531</v>
      </c>
      <c r="E38" s="15">
        <f t="shared" si="2"/>
        <v>0.5921568627</v>
      </c>
    </row>
    <row r="39">
      <c r="A39" s="6" t="s">
        <v>134</v>
      </c>
      <c r="B39" s="9">
        <v>12200.0</v>
      </c>
      <c r="C39" s="13">
        <v>158.0</v>
      </c>
      <c r="D39" s="15">
        <f t="shared" si="1"/>
        <v>0.5727699531</v>
      </c>
      <c r="E39" s="15">
        <f t="shared" si="2"/>
        <v>0.6196078431</v>
      </c>
    </row>
    <row r="40">
      <c r="A40" s="6" t="s">
        <v>136</v>
      </c>
      <c r="B40" s="9">
        <v>6500.0</v>
      </c>
      <c r="C40" s="13">
        <v>153.0</v>
      </c>
      <c r="D40" s="15">
        <f t="shared" si="1"/>
        <v>0.3051643192</v>
      </c>
      <c r="E40" s="15">
        <f t="shared" si="2"/>
        <v>0.6</v>
      </c>
    </row>
    <row r="41">
      <c r="A41" s="6" t="s">
        <v>138</v>
      </c>
      <c r="B41" s="9">
        <v>6500.0</v>
      </c>
      <c r="C41" s="13">
        <v>169.0</v>
      </c>
      <c r="D41" s="15">
        <f t="shared" si="1"/>
        <v>0.3051643192</v>
      </c>
      <c r="E41" s="15">
        <f t="shared" si="2"/>
        <v>0.662745098</v>
      </c>
    </row>
    <row r="42">
      <c r="A42" s="6" t="s">
        <v>140</v>
      </c>
      <c r="B42" s="9">
        <v>6500.0</v>
      </c>
      <c r="C42" s="13">
        <v>154.0</v>
      </c>
      <c r="D42" s="15">
        <f t="shared" si="1"/>
        <v>0.3051643192</v>
      </c>
      <c r="E42" s="15">
        <f t="shared" si="2"/>
        <v>0.6039215686</v>
      </c>
    </row>
    <row r="43">
      <c r="A43" s="6" t="s">
        <v>142</v>
      </c>
      <c r="B43" s="9">
        <v>6500.0</v>
      </c>
      <c r="C43" s="13">
        <v>162.0</v>
      </c>
      <c r="D43" s="15">
        <f t="shared" si="1"/>
        <v>0.3051643192</v>
      </c>
      <c r="E43" s="15">
        <f t="shared" si="2"/>
        <v>0.6352941176</v>
      </c>
    </row>
    <row r="44">
      <c r="A44" s="6" t="s">
        <v>144</v>
      </c>
      <c r="B44" s="9">
        <v>6500.0</v>
      </c>
      <c r="C44" s="13">
        <v>169.0</v>
      </c>
      <c r="D44" s="15">
        <f t="shared" si="1"/>
        <v>0.3051643192</v>
      </c>
      <c r="E44" s="15">
        <f t="shared" si="2"/>
        <v>0.662745098</v>
      </c>
    </row>
    <row r="45">
      <c r="A45" s="6" t="s">
        <v>146</v>
      </c>
      <c r="B45" s="9">
        <v>6500.0</v>
      </c>
      <c r="C45" s="13">
        <v>154.0</v>
      </c>
      <c r="D45" s="15">
        <f t="shared" si="1"/>
        <v>0.3051643192</v>
      </c>
      <c r="E45" s="15">
        <f t="shared" si="2"/>
        <v>0.6039215686</v>
      </c>
    </row>
    <row r="46">
      <c r="A46" s="6" t="s">
        <v>148</v>
      </c>
      <c r="B46" s="9">
        <v>6500.0</v>
      </c>
      <c r="C46" s="13">
        <v>149.0</v>
      </c>
      <c r="D46" s="15">
        <f t="shared" si="1"/>
        <v>0.3051643192</v>
      </c>
      <c r="E46" s="15">
        <f t="shared" si="2"/>
        <v>0.5843137255</v>
      </c>
    </row>
    <row r="47">
      <c r="A47" s="6" t="s">
        <v>150</v>
      </c>
      <c r="B47" s="9">
        <v>6500.0</v>
      </c>
      <c r="C47" s="13">
        <v>186.0</v>
      </c>
      <c r="D47" s="15">
        <f t="shared" si="1"/>
        <v>0.3051643192</v>
      </c>
      <c r="E47" s="15">
        <f t="shared" si="2"/>
        <v>0.7294117647</v>
      </c>
    </row>
    <row r="48">
      <c r="A48" s="6" t="s">
        <v>153</v>
      </c>
      <c r="B48" s="9">
        <v>6500.0</v>
      </c>
      <c r="C48" s="13">
        <v>169.0</v>
      </c>
      <c r="D48" s="15">
        <f t="shared" si="1"/>
        <v>0.3051643192</v>
      </c>
      <c r="E48" s="15">
        <f t="shared" si="2"/>
        <v>0.662745098</v>
      </c>
    </row>
    <row r="49">
      <c r="A49" s="6" t="s">
        <v>156</v>
      </c>
      <c r="B49" s="9">
        <v>6500.0</v>
      </c>
      <c r="C49" s="13">
        <v>152.0</v>
      </c>
      <c r="D49" s="15">
        <f t="shared" si="1"/>
        <v>0.3051643192</v>
      </c>
      <c r="E49" s="15">
        <f t="shared" si="2"/>
        <v>0.5960784314</v>
      </c>
    </row>
    <row r="50">
      <c r="A50" s="6" t="s">
        <v>158</v>
      </c>
      <c r="B50" s="9">
        <v>6500.0</v>
      </c>
      <c r="C50" s="13">
        <v>123.0</v>
      </c>
      <c r="D50" s="15">
        <f t="shared" si="1"/>
        <v>0.3051643192</v>
      </c>
      <c r="E50" s="15">
        <f t="shared" si="2"/>
        <v>0.4823529412</v>
      </c>
    </row>
    <row r="51">
      <c r="A51" s="6" t="s">
        <v>160</v>
      </c>
      <c r="B51" s="9">
        <v>6500.0</v>
      </c>
      <c r="C51" s="13">
        <v>144.0</v>
      </c>
      <c r="D51" s="15">
        <f t="shared" si="1"/>
        <v>0.3051643192</v>
      </c>
      <c r="E51" s="15">
        <f t="shared" si="2"/>
        <v>0.5647058824</v>
      </c>
    </row>
    <row r="52">
      <c r="A52" s="6" t="s">
        <v>162</v>
      </c>
      <c r="B52" s="9">
        <v>6500.0</v>
      </c>
      <c r="C52" s="13">
        <v>151.0</v>
      </c>
      <c r="D52" s="15">
        <f t="shared" si="1"/>
        <v>0.3051643192</v>
      </c>
      <c r="E52" s="15">
        <f t="shared" si="2"/>
        <v>0.5921568627</v>
      </c>
    </row>
    <row r="53">
      <c r="A53" s="6" t="s">
        <v>167</v>
      </c>
      <c r="B53" s="9">
        <v>15700.0</v>
      </c>
      <c r="C53" s="13">
        <v>41.0</v>
      </c>
      <c r="D53" s="15">
        <f t="shared" si="1"/>
        <v>0.7370892019</v>
      </c>
      <c r="E53" s="15">
        <f t="shared" si="2"/>
        <v>0.1607843137</v>
      </c>
    </row>
    <row r="54">
      <c r="A54" s="6" t="s">
        <v>169</v>
      </c>
      <c r="B54" s="9">
        <v>15700.0</v>
      </c>
      <c r="C54" s="13">
        <v>162.0</v>
      </c>
      <c r="D54" s="15">
        <f t="shared" si="1"/>
        <v>0.7370892019</v>
      </c>
      <c r="E54" s="15">
        <f t="shared" si="2"/>
        <v>0.6352941176</v>
      </c>
    </row>
    <row r="55">
      <c r="A55" s="6" t="s">
        <v>171</v>
      </c>
      <c r="B55" s="9">
        <v>11500.0</v>
      </c>
      <c r="C55" s="13">
        <v>160.0</v>
      </c>
      <c r="D55" s="15">
        <f t="shared" si="1"/>
        <v>0.5399061033</v>
      </c>
      <c r="E55" s="15">
        <f t="shared" si="2"/>
        <v>0.6274509804</v>
      </c>
    </row>
    <row r="56">
      <c r="A56" s="6" t="s">
        <v>174</v>
      </c>
      <c r="B56" s="9">
        <v>15700.0</v>
      </c>
      <c r="C56" s="13">
        <v>155.0</v>
      </c>
      <c r="D56" s="15">
        <f t="shared" si="1"/>
        <v>0.7370892019</v>
      </c>
      <c r="E56" s="15">
        <f t="shared" si="2"/>
        <v>0.6078431373</v>
      </c>
    </row>
    <row r="57">
      <c r="A57" s="6" t="s">
        <v>177</v>
      </c>
      <c r="B57" s="9">
        <v>15700.0</v>
      </c>
      <c r="C57" s="13">
        <v>162.0</v>
      </c>
      <c r="D57" s="15">
        <f t="shared" si="1"/>
        <v>0.7370892019</v>
      </c>
      <c r="E57" s="15">
        <f t="shared" si="2"/>
        <v>0.6352941176</v>
      </c>
    </row>
    <row r="58">
      <c r="A58" s="6" t="s">
        <v>179</v>
      </c>
      <c r="B58" s="9">
        <v>15700.0</v>
      </c>
      <c r="C58" s="13">
        <v>178.0</v>
      </c>
      <c r="D58" s="15">
        <f t="shared" si="1"/>
        <v>0.7370892019</v>
      </c>
      <c r="E58" s="15">
        <f t="shared" si="2"/>
        <v>0.6980392157</v>
      </c>
    </row>
    <row r="59">
      <c r="A59" s="6" t="s">
        <v>181</v>
      </c>
      <c r="B59" s="9">
        <v>15700.0</v>
      </c>
      <c r="C59" s="13">
        <v>99.0</v>
      </c>
      <c r="D59" s="15">
        <f t="shared" si="1"/>
        <v>0.7370892019</v>
      </c>
      <c r="E59" s="15">
        <f t="shared" si="2"/>
        <v>0.3882352941</v>
      </c>
    </row>
    <row r="60">
      <c r="A60" s="6" t="s">
        <v>184</v>
      </c>
      <c r="B60" s="9">
        <v>5500.0</v>
      </c>
      <c r="C60" s="13">
        <v>79.0</v>
      </c>
      <c r="D60" s="15">
        <f t="shared" si="1"/>
        <v>0.2582159624</v>
      </c>
      <c r="E60" s="15">
        <f t="shared" si="2"/>
        <v>0.3098039216</v>
      </c>
    </row>
    <row r="61">
      <c r="A61" s="6" t="s">
        <v>187</v>
      </c>
      <c r="B61" s="9">
        <v>8500.0</v>
      </c>
      <c r="C61" s="13">
        <v>52.0</v>
      </c>
      <c r="D61" s="15">
        <f t="shared" si="1"/>
        <v>0.3990610329</v>
      </c>
      <c r="E61" s="15">
        <f t="shared" si="2"/>
        <v>0.2039215686</v>
      </c>
    </row>
    <row r="62">
      <c r="A62" s="6" t="s">
        <v>191</v>
      </c>
      <c r="B62" s="9">
        <v>6500.0</v>
      </c>
      <c r="C62" s="13">
        <v>183.0</v>
      </c>
      <c r="D62" s="15">
        <f t="shared" si="1"/>
        <v>0.3051643192</v>
      </c>
      <c r="E62" s="15">
        <f t="shared" si="2"/>
        <v>0.7176470588</v>
      </c>
    </row>
    <row r="63">
      <c r="A63" s="6" t="s">
        <v>193</v>
      </c>
      <c r="B63" s="9">
        <v>21300.0</v>
      </c>
      <c r="C63" s="13">
        <v>245.0</v>
      </c>
      <c r="D63" s="15">
        <f t="shared" si="1"/>
        <v>1</v>
      </c>
      <c r="E63" s="15">
        <f t="shared" si="2"/>
        <v>0.9607843137</v>
      </c>
    </row>
    <row r="64">
      <c r="A64" s="6" t="s">
        <v>195</v>
      </c>
      <c r="B64" s="9">
        <v>3500.0</v>
      </c>
      <c r="C64" s="13">
        <v>93.0</v>
      </c>
      <c r="D64" s="15">
        <f t="shared" si="1"/>
        <v>0.1643192488</v>
      </c>
      <c r="E64" s="15">
        <f t="shared" si="2"/>
        <v>0.3647058824</v>
      </c>
    </row>
    <row r="65">
      <c r="A65" s="6" t="s">
        <v>197</v>
      </c>
      <c r="B65" s="9">
        <v>3500.0</v>
      </c>
      <c r="C65" s="13">
        <v>249.0</v>
      </c>
      <c r="D65" s="15">
        <f t="shared" si="1"/>
        <v>0.1643192488</v>
      </c>
      <c r="E65" s="15">
        <f t="shared" si="2"/>
        <v>0.9764705882</v>
      </c>
    </row>
    <row r="66">
      <c r="A66" s="6" t="s">
        <v>200</v>
      </c>
      <c r="B66" s="9">
        <v>6500.0</v>
      </c>
      <c r="C66" s="13">
        <v>24.0</v>
      </c>
      <c r="D66" s="15">
        <f t="shared" si="1"/>
        <v>0.3051643192</v>
      </c>
      <c r="E66" s="15">
        <f t="shared" si="2"/>
        <v>0.09411764706</v>
      </c>
    </row>
    <row r="67">
      <c r="A67" s="6" t="s">
        <v>205</v>
      </c>
      <c r="B67" s="9">
        <v>10000.0</v>
      </c>
      <c r="C67" s="13">
        <v>146.0</v>
      </c>
      <c r="D67" s="15">
        <f t="shared" si="1"/>
        <v>0.4694835681</v>
      </c>
      <c r="E67" s="15">
        <f t="shared" si="2"/>
        <v>0.5725490196</v>
      </c>
    </row>
    <row r="68">
      <c r="A68" s="18" t="s">
        <v>212</v>
      </c>
      <c r="B68" s="19">
        <f t="shared" ref="B68:C68" si="3">MAX(B2:B67)</f>
        <v>21300</v>
      </c>
      <c r="C68" s="15">
        <f t="shared" si="3"/>
        <v>255</v>
      </c>
      <c r="D68" s="20" t="str">
        <f t="array" ref="D68">_xlfn.XLOOKUP(Min(D2:D67),D2:D67,A2:A67)</f>
        <v>Rute-6</v>
      </c>
      <c r="E68" s="20" t="str">
        <f t="array" ref="E68">_xlfn.XLOOKUP(Min(E2:E67),E2:E67,A2:A67)</f>
        <v>Rute-78</v>
      </c>
    </row>
    <row r="69">
      <c r="D69" s="21">
        <f>(Min(D2:D67))</f>
        <v>0.1643192488</v>
      </c>
      <c r="E69" s="21">
        <f>MIN(E2:E67)</f>
        <v>0.09411764706</v>
      </c>
    </row>
  </sheetData>
  <conditionalFormatting sqref="B2:B67">
    <cfRule type="colorScale" priority="1">
      <colorScale>
        <cfvo type="min"/>
        <cfvo type="max"/>
        <color rgb="FF57BB8A"/>
        <color rgb="FFFFFFFF"/>
      </colorScale>
    </cfRule>
  </conditionalFormatting>
  <conditionalFormatting sqref="C2:C67">
    <cfRule type="colorScale" priority="2">
      <colorScale>
        <cfvo type="min"/>
        <cfvo type="max"/>
        <color rgb="FFFFFFFF"/>
        <color rgb="FFE67C73"/>
      </colorScale>
    </cfRule>
  </conditionalFormatting>
  <conditionalFormatting sqref="D2:D67">
    <cfRule type="colorScale" priority="3">
      <colorScale>
        <cfvo type="min"/>
        <cfvo type="max"/>
        <color rgb="FF57BB8A"/>
        <color rgb="FFFFFFFF"/>
      </colorScale>
    </cfRule>
  </conditionalFormatting>
  <conditionalFormatting sqref="E2:E67">
    <cfRule type="colorScale" priority="4">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9</v>
      </c>
      <c r="C1" s="2" t="s">
        <v>10</v>
      </c>
      <c r="D1" s="2" t="s">
        <v>12</v>
      </c>
      <c r="E1" s="2" t="s">
        <v>13</v>
      </c>
      <c r="F1" s="2" t="s">
        <v>14</v>
      </c>
      <c r="G1" s="2" t="s">
        <v>15</v>
      </c>
      <c r="H1" s="2" t="s">
        <v>17</v>
      </c>
      <c r="I1" s="2" t="s">
        <v>19</v>
      </c>
    </row>
    <row r="2">
      <c r="A2" s="6" t="s">
        <v>7</v>
      </c>
      <c r="B2" s="9">
        <v>76.0</v>
      </c>
      <c r="C2" s="9">
        <v>1.27</v>
      </c>
      <c r="D2" s="6" t="s">
        <v>25</v>
      </c>
      <c r="E2" s="6" t="s">
        <v>26</v>
      </c>
      <c r="F2" s="6" t="s">
        <v>27</v>
      </c>
      <c r="G2" s="6" t="s">
        <v>29</v>
      </c>
      <c r="H2" s="11"/>
      <c r="I2" s="6" t="s">
        <v>33</v>
      </c>
    </row>
    <row r="3">
      <c r="A3" s="6" t="s">
        <v>7</v>
      </c>
      <c r="B3" s="9">
        <v>76.0</v>
      </c>
      <c r="C3" s="9">
        <v>1.27</v>
      </c>
      <c r="D3" s="6" t="s">
        <v>26</v>
      </c>
      <c r="E3" s="6" t="s">
        <v>36</v>
      </c>
      <c r="F3" s="6" t="s">
        <v>37</v>
      </c>
      <c r="G3" s="6" t="s">
        <v>38</v>
      </c>
      <c r="H3" s="9">
        <v>33.0</v>
      </c>
      <c r="I3" s="11"/>
    </row>
    <row r="4">
      <c r="A4" s="6" t="s">
        <v>7</v>
      </c>
      <c r="B4" s="9">
        <v>76.0</v>
      </c>
      <c r="C4" s="9">
        <v>1.27</v>
      </c>
      <c r="D4" s="6" t="s">
        <v>36</v>
      </c>
      <c r="E4" s="6" t="s">
        <v>39</v>
      </c>
      <c r="F4" s="6" t="s">
        <v>40</v>
      </c>
      <c r="G4" s="6" t="s">
        <v>29</v>
      </c>
      <c r="H4" s="11"/>
      <c r="I4" s="6" t="s">
        <v>33</v>
      </c>
    </row>
    <row r="5">
      <c r="A5" s="6" t="s">
        <v>7</v>
      </c>
      <c r="B5" s="9">
        <v>76.0</v>
      </c>
      <c r="C5" s="9">
        <v>1.27</v>
      </c>
      <c r="D5" s="6" t="s">
        <v>39</v>
      </c>
      <c r="E5" s="6" t="s">
        <v>43</v>
      </c>
      <c r="F5" s="6" t="s">
        <v>44</v>
      </c>
      <c r="G5" s="6" t="s">
        <v>45</v>
      </c>
      <c r="H5" s="9">
        <v>8.0</v>
      </c>
      <c r="I5" s="11"/>
    </row>
    <row r="6">
      <c r="A6" s="6" t="s">
        <v>7</v>
      </c>
      <c r="B6" s="9">
        <v>76.0</v>
      </c>
      <c r="C6" s="9">
        <v>1.27</v>
      </c>
      <c r="D6" s="6" t="s">
        <v>43</v>
      </c>
      <c r="E6" s="6" t="s">
        <v>46</v>
      </c>
      <c r="F6" s="6" t="s">
        <v>47</v>
      </c>
      <c r="G6" s="6" t="s">
        <v>49</v>
      </c>
      <c r="H6" s="9">
        <v>32.0</v>
      </c>
      <c r="I6" s="11"/>
    </row>
    <row r="7">
      <c r="A7" s="6" t="s">
        <v>7</v>
      </c>
      <c r="B7" s="9">
        <v>76.0</v>
      </c>
      <c r="C7" s="9">
        <v>1.27</v>
      </c>
      <c r="D7" s="6" t="s">
        <v>46</v>
      </c>
      <c r="E7" s="6" t="s">
        <v>52</v>
      </c>
      <c r="F7" s="6" t="s">
        <v>40</v>
      </c>
      <c r="G7" s="6" t="s">
        <v>29</v>
      </c>
      <c r="H7" s="11"/>
      <c r="I7" s="6" t="s">
        <v>33</v>
      </c>
    </row>
    <row r="8">
      <c r="A8" s="6" t="s">
        <v>7</v>
      </c>
      <c r="B8" s="9">
        <v>76.0</v>
      </c>
      <c r="C8" s="9">
        <v>1.27</v>
      </c>
      <c r="D8" s="6" t="s">
        <v>52</v>
      </c>
      <c r="E8" s="6" t="s">
        <v>53</v>
      </c>
      <c r="F8" s="6">
        <v>1.0</v>
      </c>
      <c r="G8" s="6" t="s">
        <v>49</v>
      </c>
      <c r="H8" s="9">
        <v>3.0</v>
      </c>
      <c r="I8" s="11"/>
    </row>
    <row r="9">
      <c r="A9" s="6" t="s">
        <v>7</v>
      </c>
      <c r="B9" s="9">
        <v>76.0</v>
      </c>
      <c r="C9" s="9">
        <v>1.27</v>
      </c>
      <c r="D9" s="6" t="s">
        <v>53</v>
      </c>
      <c r="E9" s="6" t="s">
        <v>53</v>
      </c>
      <c r="F9" s="6" t="s">
        <v>57</v>
      </c>
      <c r="G9" s="6" t="s">
        <v>29</v>
      </c>
      <c r="H9" s="11"/>
      <c r="I9" s="6" t="s">
        <v>33</v>
      </c>
    </row>
    <row r="10">
      <c r="A10" s="6" t="s">
        <v>16</v>
      </c>
      <c r="B10" s="9">
        <v>127.0</v>
      </c>
      <c r="C10" s="9">
        <v>2.12</v>
      </c>
      <c r="D10" s="6" t="s">
        <v>25</v>
      </c>
      <c r="E10" s="6" t="s">
        <v>60</v>
      </c>
      <c r="F10" s="6" t="s">
        <v>61</v>
      </c>
      <c r="G10" s="6" t="s">
        <v>49</v>
      </c>
      <c r="H10" s="9">
        <v>110.0</v>
      </c>
      <c r="I10" s="11"/>
    </row>
    <row r="11">
      <c r="A11" s="6" t="s">
        <v>16</v>
      </c>
      <c r="B11" s="9">
        <v>127.0</v>
      </c>
      <c r="C11" s="9">
        <v>2.12</v>
      </c>
      <c r="D11" s="6" t="s">
        <v>60</v>
      </c>
      <c r="E11" s="6" t="s">
        <v>63</v>
      </c>
      <c r="F11" s="6" t="s">
        <v>65</v>
      </c>
      <c r="G11" s="6" t="s">
        <v>38</v>
      </c>
      <c r="H11" s="9">
        <v>4.0</v>
      </c>
      <c r="I11" s="11"/>
    </row>
    <row r="12">
      <c r="A12" s="6" t="s">
        <v>16</v>
      </c>
      <c r="B12" s="9">
        <v>127.0</v>
      </c>
      <c r="C12" s="9">
        <v>2.12</v>
      </c>
      <c r="D12" s="6" t="s">
        <v>63</v>
      </c>
      <c r="E12" s="6" t="s">
        <v>66</v>
      </c>
      <c r="F12" s="6" t="s">
        <v>40</v>
      </c>
      <c r="G12" s="6" t="s">
        <v>29</v>
      </c>
      <c r="H12" s="11"/>
      <c r="I12" s="6" t="s">
        <v>33</v>
      </c>
    </row>
    <row r="13">
      <c r="A13" s="6" t="s">
        <v>16</v>
      </c>
      <c r="B13" s="9">
        <v>127.0</v>
      </c>
      <c r="C13" s="9">
        <v>2.12</v>
      </c>
      <c r="D13" s="6" t="s">
        <v>66</v>
      </c>
      <c r="E13" s="6" t="s">
        <v>69</v>
      </c>
      <c r="F13" s="6" t="s">
        <v>71</v>
      </c>
      <c r="G13" s="6" t="s">
        <v>73</v>
      </c>
      <c r="H13" s="9">
        <v>13.0</v>
      </c>
      <c r="I13" s="11"/>
    </row>
    <row r="14">
      <c r="A14" s="6" t="s">
        <v>16</v>
      </c>
      <c r="B14" s="9">
        <v>127.0</v>
      </c>
      <c r="C14" s="9">
        <v>2.12</v>
      </c>
      <c r="D14" s="6" t="s">
        <v>69</v>
      </c>
      <c r="E14" s="6" t="s">
        <v>53</v>
      </c>
      <c r="F14" s="6" t="s">
        <v>57</v>
      </c>
      <c r="G14" s="6" t="s">
        <v>29</v>
      </c>
      <c r="H14" s="11"/>
      <c r="I14" s="6" t="s">
        <v>33</v>
      </c>
    </row>
    <row r="15">
      <c r="A15" s="6" t="s">
        <v>23</v>
      </c>
      <c r="B15" s="9">
        <v>148.0</v>
      </c>
      <c r="C15" s="9">
        <v>2.47</v>
      </c>
      <c r="D15" s="6" t="s">
        <v>25</v>
      </c>
      <c r="E15" s="6" t="s">
        <v>60</v>
      </c>
      <c r="F15" s="6" t="s">
        <v>61</v>
      </c>
      <c r="G15" s="6" t="s">
        <v>49</v>
      </c>
      <c r="H15" s="9">
        <v>110.0</v>
      </c>
      <c r="I15" s="11"/>
    </row>
    <row r="16">
      <c r="A16" s="6" t="s">
        <v>23</v>
      </c>
      <c r="B16" s="9">
        <v>148.0</v>
      </c>
      <c r="C16" s="9">
        <v>2.47</v>
      </c>
      <c r="D16" s="6" t="s">
        <v>60</v>
      </c>
      <c r="E16" s="6" t="s">
        <v>63</v>
      </c>
      <c r="F16" s="6" t="s">
        <v>65</v>
      </c>
      <c r="G16" s="6" t="s">
        <v>38</v>
      </c>
      <c r="H16" s="9">
        <v>4.0</v>
      </c>
      <c r="I16" s="11"/>
    </row>
    <row r="17">
      <c r="A17" s="6" t="s">
        <v>23</v>
      </c>
      <c r="B17" s="9">
        <v>148.0</v>
      </c>
      <c r="C17" s="9">
        <v>2.47</v>
      </c>
      <c r="D17" s="6" t="s">
        <v>63</v>
      </c>
      <c r="E17" s="6" t="s">
        <v>79</v>
      </c>
      <c r="F17" s="6" t="s">
        <v>40</v>
      </c>
      <c r="G17" s="6" t="s">
        <v>29</v>
      </c>
      <c r="H17" s="11"/>
      <c r="I17" s="6" t="s">
        <v>33</v>
      </c>
    </row>
    <row r="18">
      <c r="A18" s="6" t="s">
        <v>23</v>
      </c>
      <c r="B18" s="9">
        <v>148.0</v>
      </c>
      <c r="C18" s="9">
        <v>2.47</v>
      </c>
      <c r="D18" s="6" t="s">
        <v>79</v>
      </c>
      <c r="E18" s="6" t="s">
        <v>53</v>
      </c>
      <c r="F18" s="6">
        <v>1.0</v>
      </c>
      <c r="G18" s="6" t="s">
        <v>49</v>
      </c>
      <c r="H18" s="9">
        <v>34.0</v>
      </c>
      <c r="I18" s="11"/>
    </row>
    <row r="19">
      <c r="A19" s="6" t="s">
        <v>23</v>
      </c>
      <c r="B19" s="9">
        <v>148.0</v>
      </c>
      <c r="C19" s="9">
        <v>2.47</v>
      </c>
      <c r="D19" s="6" t="s">
        <v>53</v>
      </c>
      <c r="E19" s="6" t="s">
        <v>53</v>
      </c>
      <c r="F19" s="6" t="s">
        <v>57</v>
      </c>
      <c r="G19" s="6" t="s">
        <v>29</v>
      </c>
      <c r="H19" s="11"/>
      <c r="I19" s="6" t="s">
        <v>33</v>
      </c>
    </row>
    <row r="20">
      <c r="A20" s="6" t="s">
        <v>28</v>
      </c>
      <c r="B20" s="9">
        <v>157.0</v>
      </c>
      <c r="C20" s="9">
        <v>2.62</v>
      </c>
      <c r="D20" s="6" t="s">
        <v>25</v>
      </c>
      <c r="E20" s="6" t="s">
        <v>60</v>
      </c>
      <c r="F20" s="6" t="s">
        <v>61</v>
      </c>
      <c r="G20" s="6" t="s">
        <v>49</v>
      </c>
      <c r="H20" s="9">
        <v>110.0</v>
      </c>
      <c r="I20" s="11"/>
    </row>
    <row r="21">
      <c r="A21" s="6" t="s">
        <v>28</v>
      </c>
      <c r="B21" s="9">
        <v>157.0</v>
      </c>
      <c r="C21" s="9">
        <v>2.62</v>
      </c>
      <c r="D21" s="6" t="s">
        <v>60</v>
      </c>
      <c r="E21" s="6" t="s">
        <v>87</v>
      </c>
      <c r="F21" s="6">
        <v>4.0</v>
      </c>
      <c r="G21" s="6" t="s">
        <v>49</v>
      </c>
      <c r="H21" s="9">
        <v>13.0</v>
      </c>
      <c r="I21" s="11"/>
    </row>
    <row r="22">
      <c r="A22" s="6" t="s">
        <v>28</v>
      </c>
      <c r="B22" s="9">
        <v>157.0</v>
      </c>
      <c r="C22" s="9">
        <v>2.62</v>
      </c>
      <c r="D22" s="6" t="s">
        <v>87</v>
      </c>
      <c r="E22" s="6" t="s">
        <v>79</v>
      </c>
      <c r="F22" s="6" t="s">
        <v>40</v>
      </c>
      <c r="G22" s="6" t="s">
        <v>29</v>
      </c>
      <c r="H22" s="11"/>
      <c r="I22" s="6" t="s">
        <v>33</v>
      </c>
    </row>
    <row r="23">
      <c r="A23" s="6" t="s">
        <v>28</v>
      </c>
      <c r="B23" s="9">
        <v>157.0</v>
      </c>
      <c r="C23" s="9">
        <v>2.62</v>
      </c>
      <c r="D23" s="6" t="s">
        <v>79</v>
      </c>
      <c r="E23" s="6" t="s">
        <v>53</v>
      </c>
      <c r="F23" s="6">
        <v>1.0</v>
      </c>
      <c r="G23" s="6" t="s">
        <v>49</v>
      </c>
      <c r="H23" s="9">
        <v>34.0</v>
      </c>
      <c r="I23" s="11"/>
    </row>
    <row r="24">
      <c r="A24" s="6" t="s">
        <v>28</v>
      </c>
      <c r="B24" s="9">
        <v>157.0</v>
      </c>
      <c r="C24" s="9">
        <v>2.62</v>
      </c>
      <c r="D24" s="6" t="s">
        <v>53</v>
      </c>
      <c r="E24" s="6" t="s">
        <v>53</v>
      </c>
      <c r="F24" s="6" t="s">
        <v>57</v>
      </c>
      <c r="G24" s="6" t="s">
        <v>29</v>
      </c>
      <c r="H24" s="11"/>
      <c r="I24" s="6" t="s">
        <v>33</v>
      </c>
    </row>
    <row r="25">
      <c r="A25" s="6" t="s">
        <v>31</v>
      </c>
      <c r="B25" s="9">
        <v>64.0</v>
      </c>
      <c r="C25" s="9">
        <v>1.07</v>
      </c>
      <c r="D25" s="6" t="s">
        <v>25</v>
      </c>
      <c r="E25" s="6" t="s">
        <v>94</v>
      </c>
      <c r="F25" s="6" t="s">
        <v>95</v>
      </c>
      <c r="G25" s="6" t="s">
        <v>49</v>
      </c>
      <c r="H25" s="9">
        <v>54.0</v>
      </c>
      <c r="I25" s="11"/>
    </row>
    <row r="26">
      <c r="A26" s="6" t="s">
        <v>31</v>
      </c>
      <c r="B26" s="9">
        <v>64.0</v>
      </c>
      <c r="C26" s="9">
        <v>1.07</v>
      </c>
      <c r="D26" s="6" t="s">
        <v>94</v>
      </c>
      <c r="E26" s="6" t="s">
        <v>98</v>
      </c>
      <c r="F26" s="6" t="s">
        <v>40</v>
      </c>
      <c r="G26" s="6" t="s">
        <v>29</v>
      </c>
      <c r="H26" s="11"/>
      <c r="I26" s="6" t="s">
        <v>33</v>
      </c>
    </row>
    <row r="27">
      <c r="A27" s="6" t="s">
        <v>31</v>
      </c>
      <c r="B27" s="9">
        <v>64.0</v>
      </c>
      <c r="C27" s="9">
        <v>1.07</v>
      </c>
      <c r="D27" s="6" t="s">
        <v>98</v>
      </c>
      <c r="E27" s="6" t="s">
        <v>69</v>
      </c>
      <c r="F27" s="6" t="s">
        <v>101</v>
      </c>
      <c r="G27" s="6" t="s">
        <v>73</v>
      </c>
      <c r="H27" s="9">
        <v>10.0</v>
      </c>
      <c r="I27" s="11"/>
    </row>
    <row r="28">
      <c r="A28" s="6" t="s">
        <v>31</v>
      </c>
      <c r="B28" s="9">
        <v>64.0</v>
      </c>
      <c r="C28" s="9">
        <v>1.07</v>
      </c>
      <c r="D28" s="6" t="s">
        <v>69</v>
      </c>
      <c r="E28" s="6" t="s">
        <v>53</v>
      </c>
      <c r="F28" s="6" t="s">
        <v>57</v>
      </c>
      <c r="G28" s="6" t="s">
        <v>29</v>
      </c>
      <c r="H28" s="11"/>
      <c r="I28" s="6" t="s">
        <v>33</v>
      </c>
    </row>
    <row r="29">
      <c r="A29" s="6" t="s">
        <v>34</v>
      </c>
      <c r="B29" s="9">
        <v>90.0</v>
      </c>
      <c r="C29" s="9">
        <v>1.5</v>
      </c>
      <c r="D29" s="6" t="s">
        <v>25</v>
      </c>
      <c r="E29" s="6" t="s">
        <v>26</v>
      </c>
      <c r="F29" s="6" t="s">
        <v>27</v>
      </c>
      <c r="G29" s="6" t="s">
        <v>29</v>
      </c>
      <c r="H29" s="11"/>
      <c r="I29" s="6" t="s">
        <v>33</v>
      </c>
    </row>
    <row r="30">
      <c r="A30" s="6" t="s">
        <v>34</v>
      </c>
      <c r="B30" s="9">
        <v>90.0</v>
      </c>
      <c r="C30" s="9">
        <v>1.5</v>
      </c>
      <c r="D30" s="6" t="s">
        <v>26</v>
      </c>
      <c r="E30" s="6" t="s">
        <v>108</v>
      </c>
      <c r="F30" s="6" t="s">
        <v>37</v>
      </c>
      <c r="G30" s="6" t="s">
        <v>38</v>
      </c>
      <c r="H30" s="9">
        <v>44.0</v>
      </c>
      <c r="I30" s="11"/>
    </row>
    <row r="31">
      <c r="A31" s="6" t="s">
        <v>34</v>
      </c>
      <c r="B31" s="9">
        <v>90.0</v>
      </c>
      <c r="C31" s="9">
        <v>1.5</v>
      </c>
      <c r="D31" s="6" t="s">
        <v>108</v>
      </c>
      <c r="E31" s="6" t="s">
        <v>110</v>
      </c>
      <c r="F31" s="6" t="s">
        <v>40</v>
      </c>
      <c r="G31" s="6" t="s">
        <v>29</v>
      </c>
      <c r="H31" s="11"/>
      <c r="I31" s="6" t="s">
        <v>33</v>
      </c>
    </row>
    <row r="32">
      <c r="A32" s="6" t="s">
        <v>34</v>
      </c>
      <c r="B32" s="9">
        <v>90.0</v>
      </c>
      <c r="C32" s="9">
        <v>1.5</v>
      </c>
      <c r="D32" s="6" t="s">
        <v>110</v>
      </c>
      <c r="E32" s="6" t="s">
        <v>112</v>
      </c>
      <c r="F32" s="6" t="s">
        <v>114</v>
      </c>
      <c r="G32" s="6" t="s">
        <v>49</v>
      </c>
      <c r="H32" s="9">
        <v>34.0</v>
      </c>
      <c r="I32" s="11"/>
    </row>
    <row r="33">
      <c r="A33" s="6" t="s">
        <v>34</v>
      </c>
      <c r="B33" s="9">
        <v>90.0</v>
      </c>
      <c r="C33" s="9">
        <v>1.5</v>
      </c>
      <c r="D33" s="6" t="s">
        <v>112</v>
      </c>
      <c r="E33" s="6" t="s">
        <v>115</v>
      </c>
      <c r="F33" s="6" t="s">
        <v>116</v>
      </c>
      <c r="G33" s="6" t="s">
        <v>49</v>
      </c>
      <c r="H33" s="9">
        <v>12.0</v>
      </c>
      <c r="I33" s="11"/>
    </row>
    <row r="34">
      <c r="A34" s="6" t="s">
        <v>34</v>
      </c>
      <c r="B34" s="9">
        <v>90.0</v>
      </c>
      <c r="C34" s="9">
        <v>1.5</v>
      </c>
      <c r="D34" s="6" t="s">
        <v>115</v>
      </c>
      <c r="E34" s="6" t="s">
        <v>53</v>
      </c>
      <c r="F34" s="6" t="s">
        <v>57</v>
      </c>
      <c r="G34" s="6" t="s">
        <v>29</v>
      </c>
      <c r="H34" s="11"/>
      <c r="I34" s="6" t="s">
        <v>33</v>
      </c>
    </row>
    <row r="35">
      <c r="A35" s="6" t="s">
        <v>109</v>
      </c>
      <c r="B35" s="9">
        <v>90.0</v>
      </c>
      <c r="C35" s="9">
        <v>1.5</v>
      </c>
      <c r="D35" s="6" t="s">
        <v>25</v>
      </c>
      <c r="E35" s="6" t="s">
        <v>26</v>
      </c>
      <c r="F35" s="6" t="s">
        <v>27</v>
      </c>
      <c r="G35" s="6" t="s">
        <v>29</v>
      </c>
      <c r="H35" s="11"/>
      <c r="I35" s="6" t="s">
        <v>33</v>
      </c>
    </row>
    <row r="36">
      <c r="A36" s="6" t="s">
        <v>109</v>
      </c>
      <c r="B36" s="9">
        <v>90.0</v>
      </c>
      <c r="C36" s="9">
        <v>1.5</v>
      </c>
      <c r="D36" s="6" t="s">
        <v>26</v>
      </c>
      <c r="E36" s="6" t="s">
        <v>108</v>
      </c>
      <c r="F36" s="6" t="s">
        <v>37</v>
      </c>
      <c r="G36" s="6" t="s">
        <v>38</v>
      </c>
      <c r="H36" s="9">
        <v>44.0</v>
      </c>
      <c r="I36" s="11"/>
    </row>
    <row r="37">
      <c r="A37" s="6" t="s">
        <v>109</v>
      </c>
      <c r="B37" s="9">
        <v>90.0</v>
      </c>
      <c r="C37" s="9">
        <v>1.5</v>
      </c>
      <c r="D37" s="6" t="s">
        <v>108</v>
      </c>
      <c r="E37" s="6" t="s">
        <v>110</v>
      </c>
      <c r="F37" s="6" t="s">
        <v>40</v>
      </c>
      <c r="G37" s="6" t="s">
        <v>29</v>
      </c>
      <c r="H37" s="11"/>
      <c r="I37" s="6" t="s">
        <v>33</v>
      </c>
    </row>
    <row r="38">
      <c r="A38" s="6" t="s">
        <v>109</v>
      </c>
      <c r="B38" s="9">
        <v>90.0</v>
      </c>
      <c r="C38" s="9">
        <v>1.5</v>
      </c>
      <c r="D38" s="6" t="s">
        <v>110</v>
      </c>
      <c r="E38" s="6" t="s">
        <v>112</v>
      </c>
      <c r="F38" s="6" t="s">
        <v>114</v>
      </c>
      <c r="G38" s="6" t="s">
        <v>49</v>
      </c>
      <c r="H38" s="9">
        <v>34.0</v>
      </c>
      <c r="I38" s="11"/>
    </row>
    <row r="39">
      <c r="A39" s="6" t="s">
        <v>109</v>
      </c>
      <c r="B39" s="9">
        <v>90.0</v>
      </c>
      <c r="C39" s="9">
        <v>1.5</v>
      </c>
      <c r="D39" s="6" t="s">
        <v>112</v>
      </c>
      <c r="E39" s="6" t="s">
        <v>127</v>
      </c>
      <c r="F39" s="6" t="s">
        <v>129</v>
      </c>
      <c r="G39" s="6" t="s">
        <v>49</v>
      </c>
      <c r="H39" s="9">
        <v>12.0</v>
      </c>
      <c r="I39" s="11"/>
    </row>
    <row r="40">
      <c r="A40" s="6" t="s">
        <v>109</v>
      </c>
      <c r="B40" s="9">
        <v>90.0</v>
      </c>
      <c r="C40" s="9">
        <v>1.5</v>
      </c>
      <c r="D40" s="6" t="s">
        <v>127</v>
      </c>
      <c r="E40" s="6" t="s">
        <v>53</v>
      </c>
      <c r="F40" s="6" t="s">
        <v>57</v>
      </c>
      <c r="G40" s="6" t="s">
        <v>29</v>
      </c>
      <c r="H40" s="11"/>
      <c r="I40" s="6" t="s">
        <v>33</v>
      </c>
    </row>
    <row r="41">
      <c r="A41" s="6" t="s">
        <v>41</v>
      </c>
      <c r="B41" s="9">
        <v>57.0</v>
      </c>
      <c r="C41" s="9">
        <v>0.95</v>
      </c>
      <c r="D41" s="6" t="s">
        <v>25</v>
      </c>
      <c r="E41" s="6" t="s">
        <v>26</v>
      </c>
      <c r="F41" s="6" t="s">
        <v>27</v>
      </c>
      <c r="G41" s="6" t="s">
        <v>29</v>
      </c>
      <c r="H41" s="11"/>
      <c r="I41" s="6" t="s">
        <v>33</v>
      </c>
    </row>
    <row r="42">
      <c r="A42" s="6" t="s">
        <v>41</v>
      </c>
      <c r="B42" s="9">
        <v>57.0</v>
      </c>
      <c r="C42" s="9">
        <v>0.95</v>
      </c>
      <c r="D42" s="6" t="s">
        <v>26</v>
      </c>
      <c r="E42" s="6" t="s">
        <v>60</v>
      </c>
      <c r="F42" s="6" t="s">
        <v>37</v>
      </c>
      <c r="G42" s="6" t="s">
        <v>38</v>
      </c>
      <c r="H42" s="9">
        <v>40.0</v>
      </c>
      <c r="I42" s="11"/>
    </row>
    <row r="43">
      <c r="A43" s="6" t="s">
        <v>41</v>
      </c>
      <c r="B43" s="9">
        <v>57.0</v>
      </c>
      <c r="C43" s="9">
        <v>0.95</v>
      </c>
      <c r="D43" s="6" t="s">
        <v>60</v>
      </c>
      <c r="E43" s="6" t="s">
        <v>63</v>
      </c>
      <c r="F43" s="6" t="s">
        <v>65</v>
      </c>
      <c r="G43" s="6" t="s">
        <v>38</v>
      </c>
      <c r="H43" s="9">
        <v>4.0</v>
      </c>
      <c r="I43" s="11"/>
    </row>
    <row r="44">
      <c r="A44" s="6" t="s">
        <v>41</v>
      </c>
      <c r="B44" s="9">
        <v>57.0</v>
      </c>
      <c r="C44" s="9">
        <v>0.95</v>
      </c>
      <c r="D44" s="6" t="s">
        <v>63</v>
      </c>
      <c r="E44" s="6" t="s">
        <v>66</v>
      </c>
      <c r="F44" s="6" t="s">
        <v>40</v>
      </c>
      <c r="G44" s="6" t="s">
        <v>29</v>
      </c>
      <c r="H44" s="11"/>
      <c r="I44" s="6" t="s">
        <v>33</v>
      </c>
    </row>
    <row r="45">
      <c r="A45" s="6" t="s">
        <v>41</v>
      </c>
      <c r="B45" s="9">
        <v>57.0</v>
      </c>
      <c r="C45" s="9">
        <v>0.95</v>
      </c>
      <c r="D45" s="6" t="s">
        <v>66</v>
      </c>
      <c r="E45" s="6" t="s">
        <v>69</v>
      </c>
      <c r="F45" s="6" t="s">
        <v>71</v>
      </c>
      <c r="G45" s="6" t="s">
        <v>73</v>
      </c>
      <c r="H45" s="9">
        <v>13.0</v>
      </c>
      <c r="I45" s="11"/>
    </row>
    <row r="46">
      <c r="A46" s="6" t="s">
        <v>41</v>
      </c>
      <c r="B46" s="9">
        <v>57.0</v>
      </c>
      <c r="C46" s="9">
        <v>0.95</v>
      </c>
      <c r="D46" s="6" t="s">
        <v>69</v>
      </c>
      <c r="E46" s="6" t="s">
        <v>53</v>
      </c>
      <c r="F46" s="6" t="s">
        <v>57</v>
      </c>
      <c r="G46" s="6" t="s">
        <v>29</v>
      </c>
      <c r="H46" s="11"/>
      <c r="I46" s="6" t="s">
        <v>33</v>
      </c>
    </row>
    <row r="47">
      <c r="A47" s="6" t="s">
        <v>48</v>
      </c>
      <c r="B47" s="9">
        <v>78.0</v>
      </c>
      <c r="C47" s="9">
        <v>1.3</v>
      </c>
      <c r="D47" s="6" t="s">
        <v>25</v>
      </c>
      <c r="E47" s="6" t="s">
        <v>26</v>
      </c>
      <c r="F47" s="6" t="s">
        <v>27</v>
      </c>
      <c r="G47" s="6" t="s">
        <v>29</v>
      </c>
      <c r="H47" s="11"/>
      <c r="I47" s="6" t="s">
        <v>33</v>
      </c>
    </row>
    <row r="48">
      <c r="A48" s="6" t="s">
        <v>48</v>
      </c>
      <c r="B48" s="9">
        <v>78.0</v>
      </c>
      <c r="C48" s="9">
        <v>1.3</v>
      </c>
      <c r="D48" s="6" t="s">
        <v>26</v>
      </c>
      <c r="E48" s="6" t="s">
        <v>60</v>
      </c>
      <c r="F48" s="6" t="s">
        <v>37</v>
      </c>
      <c r="G48" s="6" t="s">
        <v>38</v>
      </c>
      <c r="H48" s="9">
        <v>40.0</v>
      </c>
      <c r="I48" s="11"/>
    </row>
    <row r="49">
      <c r="A49" s="6" t="s">
        <v>48</v>
      </c>
      <c r="B49" s="9">
        <v>78.0</v>
      </c>
      <c r="C49" s="9">
        <v>1.3</v>
      </c>
      <c r="D49" s="6" t="s">
        <v>60</v>
      </c>
      <c r="E49" s="6" t="s">
        <v>63</v>
      </c>
      <c r="F49" s="6" t="s">
        <v>65</v>
      </c>
      <c r="G49" s="6" t="s">
        <v>38</v>
      </c>
      <c r="H49" s="9">
        <v>4.0</v>
      </c>
      <c r="I49" s="11"/>
    </row>
    <row r="50">
      <c r="A50" s="6" t="s">
        <v>48</v>
      </c>
      <c r="B50" s="9">
        <v>78.0</v>
      </c>
      <c r="C50" s="9">
        <v>1.3</v>
      </c>
      <c r="D50" s="6" t="s">
        <v>63</v>
      </c>
      <c r="E50" s="6" t="s">
        <v>79</v>
      </c>
      <c r="F50" s="6" t="s">
        <v>40</v>
      </c>
      <c r="G50" s="6" t="s">
        <v>29</v>
      </c>
      <c r="H50" s="11"/>
      <c r="I50" s="6" t="s">
        <v>33</v>
      </c>
    </row>
    <row r="51">
      <c r="A51" s="6" t="s">
        <v>48</v>
      </c>
      <c r="B51" s="9">
        <v>78.0</v>
      </c>
      <c r="C51" s="9">
        <v>1.3</v>
      </c>
      <c r="D51" s="6" t="s">
        <v>79</v>
      </c>
      <c r="E51" s="6" t="s">
        <v>53</v>
      </c>
      <c r="F51" s="6">
        <v>1.0</v>
      </c>
      <c r="G51" s="6" t="s">
        <v>49</v>
      </c>
      <c r="H51" s="9">
        <v>34.0</v>
      </c>
      <c r="I51" s="11"/>
    </row>
    <row r="52">
      <c r="A52" s="6" t="s">
        <v>48</v>
      </c>
      <c r="B52" s="9">
        <v>78.0</v>
      </c>
      <c r="C52" s="9">
        <v>1.3</v>
      </c>
      <c r="D52" s="6" t="s">
        <v>53</v>
      </c>
      <c r="E52" s="6" t="s">
        <v>53</v>
      </c>
      <c r="F52" s="6" t="s">
        <v>57</v>
      </c>
      <c r="G52" s="6" t="s">
        <v>29</v>
      </c>
      <c r="H52" s="11"/>
      <c r="I52" s="6" t="s">
        <v>33</v>
      </c>
    </row>
    <row r="53">
      <c r="A53" s="6" t="s">
        <v>54</v>
      </c>
      <c r="B53" s="9">
        <v>87.0</v>
      </c>
      <c r="C53" s="9">
        <v>1.45</v>
      </c>
      <c r="D53" s="6" t="s">
        <v>25</v>
      </c>
      <c r="E53" s="6" t="s">
        <v>26</v>
      </c>
      <c r="F53" s="6" t="s">
        <v>27</v>
      </c>
      <c r="G53" s="6" t="s">
        <v>29</v>
      </c>
      <c r="H53" s="11"/>
      <c r="I53" s="6" t="s">
        <v>33</v>
      </c>
    </row>
    <row r="54">
      <c r="A54" s="6" t="s">
        <v>54</v>
      </c>
      <c r="B54" s="9">
        <v>87.0</v>
      </c>
      <c r="C54" s="9">
        <v>1.45</v>
      </c>
      <c r="D54" s="6" t="s">
        <v>26</v>
      </c>
      <c r="E54" s="6" t="s">
        <v>60</v>
      </c>
      <c r="F54" s="6" t="s">
        <v>37</v>
      </c>
      <c r="G54" s="6" t="s">
        <v>38</v>
      </c>
      <c r="H54" s="9">
        <v>40.0</v>
      </c>
      <c r="I54" s="11"/>
    </row>
    <row r="55">
      <c r="A55" s="6" t="s">
        <v>54</v>
      </c>
      <c r="B55" s="9">
        <v>87.0</v>
      </c>
      <c r="C55" s="9">
        <v>1.45</v>
      </c>
      <c r="D55" s="6" t="s">
        <v>60</v>
      </c>
      <c r="E55" s="6" t="s">
        <v>87</v>
      </c>
      <c r="F55" s="6">
        <v>4.0</v>
      </c>
      <c r="G55" s="6" t="s">
        <v>49</v>
      </c>
      <c r="H55" s="9">
        <v>13.0</v>
      </c>
      <c r="I55" s="11"/>
    </row>
    <row r="56">
      <c r="A56" s="6" t="s">
        <v>54</v>
      </c>
      <c r="B56" s="9">
        <v>87.0</v>
      </c>
      <c r="C56" s="9">
        <v>1.45</v>
      </c>
      <c r="D56" s="6" t="s">
        <v>87</v>
      </c>
      <c r="E56" s="6" t="s">
        <v>79</v>
      </c>
      <c r="F56" s="6" t="s">
        <v>40</v>
      </c>
      <c r="G56" s="6" t="s">
        <v>29</v>
      </c>
      <c r="H56" s="11"/>
      <c r="I56" s="6" t="s">
        <v>33</v>
      </c>
    </row>
    <row r="57">
      <c r="A57" s="6" t="s">
        <v>54</v>
      </c>
      <c r="B57" s="9">
        <v>87.0</v>
      </c>
      <c r="C57" s="9">
        <v>1.45</v>
      </c>
      <c r="D57" s="6" t="s">
        <v>79</v>
      </c>
      <c r="E57" s="6" t="s">
        <v>53</v>
      </c>
      <c r="F57" s="6">
        <v>1.0</v>
      </c>
      <c r="G57" s="6" t="s">
        <v>49</v>
      </c>
      <c r="H57" s="9">
        <v>34.0</v>
      </c>
      <c r="I57" s="11"/>
    </row>
    <row r="58">
      <c r="A58" s="6" t="s">
        <v>54</v>
      </c>
      <c r="B58" s="9">
        <v>87.0</v>
      </c>
      <c r="C58" s="9">
        <v>1.45</v>
      </c>
      <c r="D58" s="6" t="s">
        <v>53</v>
      </c>
      <c r="E58" s="6" t="s">
        <v>53</v>
      </c>
      <c r="F58" s="6" t="s">
        <v>57</v>
      </c>
      <c r="G58" s="6" t="s">
        <v>29</v>
      </c>
      <c r="H58" s="11"/>
      <c r="I58" s="6" t="s">
        <v>33</v>
      </c>
    </row>
    <row r="59">
      <c r="A59" s="6" t="s">
        <v>58</v>
      </c>
      <c r="B59" s="9">
        <v>83.0</v>
      </c>
      <c r="C59" s="9">
        <v>1.38</v>
      </c>
      <c r="D59" s="6" t="s">
        <v>25</v>
      </c>
      <c r="E59" s="6" t="s">
        <v>26</v>
      </c>
      <c r="F59" s="6" t="s">
        <v>27</v>
      </c>
      <c r="G59" s="6" t="s">
        <v>29</v>
      </c>
      <c r="H59" s="11"/>
      <c r="I59" s="6" t="s">
        <v>33</v>
      </c>
    </row>
    <row r="60">
      <c r="A60" s="6" t="s">
        <v>58</v>
      </c>
      <c r="B60" s="9">
        <v>83.0</v>
      </c>
      <c r="C60" s="9">
        <v>1.38</v>
      </c>
      <c r="D60" s="6" t="s">
        <v>26</v>
      </c>
      <c r="E60" s="6" t="s">
        <v>151</v>
      </c>
      <c r="F60" s="6" t="s">
        <v>37</v>
      </c>
      <c r="G60" s="6" t="s">
        <v>38</v>
      </c>
      <c r="H60" s="9">
        <v>36.0</v>
      </c>
      <c r="I60" s="11"/>
    </row>
    <row r="61">
      <c r="A61" s="6" t="s">
        <v>58</v>
      </c>
      <c r="B61" s="9">
        <v>83.0</v>
      </c>
      <c r="C61" s="9">
        <v>1.38</v>
      </c>
      <c r="D61" s="6" t="s">
        <v>151</v>
      </c>
      <c r="E61" s="6" t="s">
        <v>152</v>
      </c>
      <c r="F61" s="6" t="s">
        <v>40</v>
      </c>
      <c r="G61" s="6" t="s">
        <v>29</v>
      </c>
      <c r="H61" s="11"/>
      <c r="I61" s="6" t="s">
        <v>33</v>
      </c>
    </row>
    <row r="62">
      <c r="A62" s="6" t="s">
        <v>58</v>
      </c>
      <c r="B62" s="9">
        <v>83.0</v>
      </c>
      <c r="C62" s="9">
        <v>1.38</v>
      </c>
      <c r="D62" s="6" t="s">
        <v>152</v>
      </c>
      <c r="E62" s="6" t="s">
        <v>112</v>
      </c>
      <c r="F62" s="6" t="s">
        <v>155</v>
      </c>
      <c r="G62" s="6" t="s">
        <v>49</v>
      </c>
      <c r="H62" s="9">
        <v>35.0</v>
      </c>
      <c r="I62" s="11"/>
    </row>
    <row r="63">
      <c r="A63" s="6" t="s">
        <v>58</v>
      </c>
      <c r="B63" s="9">
        <v>83.0</v>
      </c>
      <c r="C63" s="9">
        <v>1.38</v>
      </c>
      <c r="D63" s="6" t="s">
        <v>112</v>
      </c>
      <c r="E63" s="6" t="s">
        <v>115</v>
      </c>
      <c r="F63" s="6" t="s">
        <v>116</v>
      </c>
      <c r="G63" s="6" t="s">
        <v>49</v>
      </c>
      <c r="H63" s="9">
        <v>12.0</v>
      </c>
      <c r="I63" s="11"/>
    </row>
    <row r="64">
      <c r="A64" s="6" t="s">
        <v>58</v>
      </c>
      <c r="B64" s="9">
        <v>83.0</v>
      </c>
      <c r="C64" s="9">
        <v>1.38</v>
      </c>
      <c r="D64" s="6" t="s">
        <v>115</v>
      </c>
      <c r="E64" s="6" t="s">
        <v>53</v>
      </c>
      <c r="F64" s="6" t="s">
        <v>57</v>
      </c>
      <c r="G64" s="6" t="s">
        <v>29</v>
      </c>
      <c r="H64" s="11"/>
      <c r="I64" s="6" t="s">
        <v>33</v>
      </c>
    </row>
    <row r="65">
      <c r="A65" s="6" t="s">
        <v>123</v>
      </c>
      <c r="B65" s="9">
        <v>83.0</v>
      </c>
      <c r="C65" s="9">
        <v>1.38</v>
      </c>
      <c r="D65" s="6" t="s">
        <v>25</v>
      </c>
      <c r="E65" s="6" t="s">
        <v>26</v>
      </c>
      <c r="F65" s="6" t="s">
        <v>27</v>
      </c>
      <c r="G65" s="6" t="s">
        <v>29</v>
      </c>
      <c r="H65" s="11"/>
      <c r="I65" s="6" t="s">
        <v>33</v>
      </c>
    </row>
    <row r="66">
      <c r="A66" s="6" t="s">
        <v>123</v>
      </c>
      <c r="B66" s="9">
        <v>83.0</v>
      </c>
      <c r="C66" s="9">
        <v>1.38</v>
      </c>
      <c r="D66" s="6" t="s">
        <v>26</v>
      </c>
      <c r="E66" s="6" t="s">
        <v>151</v>
      </c>
      <c r="F66" s="6" t="s">
        <v>37</v>
      </c>
      <c r="G66" s="6" t="s">
        <v>38</v>
      </c>
      <c r="H66" s="9">
        <v>36.0</v>
      </c>
      <c r="I66" s="11"/>
    </row>
    <row r="67">
      <c r="A67" s="6" t="s">
        <v>123</v>
      </c>
      <c r="B67" s="9">
        <v>83.0</v>
      </c>
      <c r="C67" s="9">
        <v>1.38</v>
      </c>
      <c r="D67" s="6" t="s">
        <v>151</v>
      </c>
      <c r="E67" s="6" t="s">
        <v>152</v>
      </c>
      <c r="F67" s="6" t="s">
        <v>40</v>
      </c>
      <c r="G67" s="6" t="s">
        <v>29</v>
      </c>
      <c r="H67" s="11"/>
      <c r="I67" s="6" t="s">
        <v>33</v>
      </c>
    </row>
    <row r="68">
      <c r="A68" s="6" t="s">
        <v>123</v>
      </c>
      <c r="B68" s="9">
        <v>83.0</v>
      </c>
      <c r="C68" s="9">
        <v>1.38</v>
      </c>
      <c r="D68" s="6" t="s">
        <v>152</v>
      </c>
      <c r="E68" s="6" t="s">
        <v>112</v>
      </c>
      <c r="F68" s="6" t="s">
        <v>155</v>
      </c>
      <c r="G68" s="6" t="s">
        <v>49</v>
      </c>
      <c r="H68" s="9">
        <v>35.0</v>
      </c>
      <c r="I68" s="11"/>
    </row>
    <row r="69">
      <c r="A69" s="6" t="s">
        <v>123</v>
      </c>
      <c r="B69" s="9">
        <v>83.0</v>
      </c>
      <c r="C69" s="9">
        <v>1.38</v>
      </c>
      <c r="D69" s="6" t="s">
        <v>112</v>
      </c>
      <c r="E69" s="6" t="s">
        <v>127</v>
      </c>
      <c r="F69" s="6" t="s">
        <v>129</v>
      </c>
      <c r="G69" s="6" t="s">
        <v>49</v>
      </c>
      <c r="H69" s="9">
        <v>12.0</v>
      </c>
      <c r="I69" s="11"/>
    </row>
    <row r="70">
      <c r="A70" s="6" t="s">
        <v>123</v>
      </c>
      <c r="B70" s="9">
        <v>83.0</v>
      </c>
      <c r="C70" s="9">
        <v>1.38</v>
      </c>
      <c r="D70" s="6" t="s">
        <v>127</v>
      </c>
      <c r="E70" s="6" t="s">
        <v>53</v>
      </c>
      <c r="F70" s="6" t="s">
        <v>57</v>
      </c>
      <c r="G70" s="6" t="s">
        <v>29</v>
      </c>
      <c r="H70" s="11"/>
      <c r="I70" s="6" t="s">
        <v>33</v>
      </c>
    </row>
    <row r="71">
      <c r="A71" s="6" t="s">
        <v>62</v>
      </c>
      <c r="B71" s="9">
        <v>46.0</v>
      </c>
      <c r="C71" s="9">
        <v>0.77</v>
      </c>
      <c r="D71" s="6" t="s">
        <v>25</v>
      </c>
      <c r="E71" s="6" t="s">
        <v>26</v>
      </c>
      <c r="F71" s="6" t="s">
        <v>27</v>
      </c>
      <c r="G71" s="6" t="s">
        <v>29</v>
      </c>
      <c r="H71" s="11"/>
      <c r="I71" s="6" t="s">
        <v>33</v>
      </c>
    </row>
    <row r="72">
      <c r="A72" s="6" t="s">
        <v>62</v>
      </c>
      <c r="B72" s="9">
        <v>46.0</v>
      </c>
      <c r="C72" s="9">
        <v>0.77</v>
      </c>
      <c r="D72" s="6" t="s">
        <v>26</v>
      </c>
      <c r="E72" s="6" t="s">
        <v>164</v>
      </c>
      <c r="F72" s="6" t="s">
        <v>37</v>
      </c>
      <c r="G72" s="6" t="s">
        <v>38</v>
      </c>
      <c r="H72" s="9">
        <v>6.0</v>
      </c>
      <c r="I72" s="11"/>
    </row>
    <row r="73">
      <c r="A73" s="6" t="s">
        <v>62</v>
      </c>
      <c r="B73" s="9">
        <v>46.0</v>
      </c>
      <c r="C73" s="9">
        <v>0.77</v>
      </c>
      <c r="D73" s="6" t="s">
        <v>164</v>
      </c>
      <c r="E73" s="6" t="s">
        <v>165</v>
      </c>
      <c r="F73" s="6" t="s">
        <v>40</v>
      </c>
      <c r="G73" s="6" t="s">
        <v>29</v>
      </c>
      <c r="H73" s="11"/>
      <c r="I73" s="6" t="s">
        <v>33</v>
      </c>
    </row>
    <row r="74">
      <c r="A74" s="6" t="s">
        <v>62</v>
      </c>
      <c r="B74" s="9">
        <v>46.0</v>
      </c>
      <c r="C74" s="9">
        <v>0.77</v>
      </c>
      <c r="D74" s="6" t="s">
        <v>165</v>
      </c>
      <c r="E74" s="6" t="s">
        <v>94</v>
      </c>
      <c r="F74" s="6" t="s">
        <v>166</v>
      </c>
      <c r="G74" s="6" t="s">
        <v>49</v>
      </c>
      <c r="H74" s="9">
        <v>30.0</v>
      </c>
      <c r="I74" s="11"/>
    </row>
    <row r="75">
      <c r="A75" s="6" t="s">
        <v>62</v>
      </c>
      <c r="B75" s="9">
        <v>46.0</v>
      </c>
      <c r="C75" s="9">
        <v>0.77</v>
      </c>
      <c r="D75" s="6" t="s">
        <v>94</v>
      </c>
      <c r="E75" s="6" t="s">
        <v>98</v>
      </c>
      <c r="F75" s="6" t="s">
        <v>40</v>
      </c>
      <c r="G75" s="6" t="s">
        <v>29</v>
      </c>
      <c r="H75" s="11"/>
      <c r="I75" s="6" t="s">
        <v>33</v>
      </c>
    </row>
    <row r="76">
      <c r="A76" s="6" t="s">
        <v>62</v>
      </c>
      <c r="B76" s="9">
        <v>46.0</v>
      </c>
      <c r="C76" s="9">
        <v>0.77</v>
      </c>
      <c r="D76" s="6" t="s">
        <v>98</v>
      </c>
      <c r="E76" s="6" t="s">
        <v>69</v>
      </c>
      <c r="F76" s="6" t="s">
        <v>101</v>
      </c>
      <c r="G76" s="6" t="s">
        <v>73</v>
      </c>
      <c r="H76" s="9">
        <v>10.0</v>
      </c>
      <c r="I76" s="11"/>
    </row>
    <row r="77">
      <c r="A77" s="6" t="s">
        <v>62</v>
      </c>
      <c r="B77" s="9">
        <v>46.0</v>
      </c>
      <c r="C77" s="9">
        <v>0.77</v>
      </c>
      <c r="D77" s="6" t="s">
        <v>69</v>
      </c>
      <c r="E77" s="6" t="s">
        <v>53</v>
      </c>
      <c r="F77" s="6" t="s">
        <v>57</v>
      </c>
      <c r="G77" s="6" t="s">
        <v>29</v>
      </c>
      <c r="H77" s="11"/>
      <c r="I77" s="6" t="s">
        <v>33</v>
      </c>
    </row>
    <row r="78">
      <c r="A78" s="6" t="s">
        <v>67</v>
      </c>
      <c r="B78" s="9">
        <v>59.0</v>
      </c>
      <c r="C78" s="9">
        <v>0.98</v>
      </c>
      <c r="D78" s="6" t="s">
        <v>25</v>
      </c>
      <c r="E78" s="6" t="s">
        <v>94</v>
      </c>
      <c r="F78" s="6" t="s">
        <v>166</v>
      </c>
      <c r="G78" s="6" t="s">
        <v>49</v>
      </c>
      <c r="H78" s="9">
        <v>31.0</v>
      </c>
      <c r="I78" s="11"/>
    </row>
    <row r="79">
      <c r="A79" s="6" t="s">
        <v>67</v>
      </c>
      <c r="B79" s="9">
        <v>59.0</v>
      </c>
      <c r="C79" s="9">
        <v>0.98</v>
      </c>
      <c r="D79" s="6" t="s">
        <v>94</v>
      </c>
      <c r="E79" s="6" t="s">
        <v>173</v>
      </c>
      <c r="F79" s="6" t="s">
        <v>40</v>
      </c>
      <c r="G79" s="6" t="s">
        <v>29</v>
      </c>
      <c r="H79" s="11"/>
      <c r="I79" s="6" t="s">
        <v>33</v>
      </c>
    </row>
    <row r="80">
      <c r="A80" s="6" t="s">
        <v>67</v>
      </c>
      <c r="B80" s="9">
        <v>59.0</v>
      </c>
      <c r="C80" s="9">
        <v>0.98</v>
      </c>
      <c r="D80" s="6" t="s">
        <v>173</v>
      </c>
      <c r="E80" s="6" t="s">
        <v>69</v>
      </c>
      <c r="F80" s="6" t="s">
        <v>176</v>
      </c>
      <c r="G80" s="6" t="s">
        <v>49</v>
      </c>
      <c r="H80" s="9">
        <v>28.0</v>
      </c>
      <c r="I80" s="11"/>
    </row>
    <row r="81">
      <c r="A81" s="6" t="s">
        <v>67</v>
      </c>
      <c r="B81" s="9">
        <v>59.0</v>
      </c>
      <c r="C81" s="9">
        <v>0.98</v>
      </c>
      <c r="D81" s="6" t="s">
        <v>69</v>
      </c>
      <c r="E81" s="6" t="s">
        <v>53</v>
      </c>
      <c r="F81" s="6" t="s">
        <v>57</v>
      </c>
      <c r="G81" s="6" t="s">
        <v>29</v>
      </c>
      <c r="H81" s="11"/>
      <c r="I81" s="6" t="s">
        <v>33</v>
      </c>
    </row>
    <row r="82">
      <c r="A82" s="6" t="s">
        <v>70</v>
      </c>
      <c r="B82" s="9">
        <v>64.0</v>
      </c>
      <c r="C82" s="9">
        <v>1.07</v>
      </c>
      <c r="D82" s="6" t="s">
        <v>25</v>
      </c>
      <c r="E82" s="6" t="s">
        <v>26</v>
      </c>
      <c r="F82" s="6" t="s">
        <v>27</v>
      </c>
      <c r="G82" s="6" t="s">
        <v>29</v>
      </c>
      <c r="H82" s="11"/>
      <c r="I82" s="6" t="s">
        <v>33</v>
      </c>
    </row>
    <row r="83">
      <c r="A83" s="6" t="s">
        <v>70</v>
      </c>
      <c r="B83" s="9">
        <v>64.0</v>
      </c>
      <c r="C83" s="9">
        <v>1.07</v>
      </c>
      <c r="D83" s="6" t="s">
        <v>26</v>
      </c>
      <c r="E83" s="6" t="s">
        <v>36</v>
      </c>
      <c r="F83" s="6" t="s">
        <v>37</v>
      </c>
      <c r="G83" s="6" t="s">
        <v>38</v>
      </c>
      <c r="H83" s="9">
        <v>33.0</v>
      </c>
      <c r="I83" s="11"/>
    </row>
    <row r="84">
      <c r="A84" s="6" t="s">
        <v>70</v>
      </c>
      <c r="B84" s="9">
        <v>64.0</v>
      </c>
      <c r="C84" s="9">
        <v>1.07</v>
      </c>
      <c r="D84" s="6" t="s">
        <v>36</v>
      </c>
      <c r="E84" s="6" t="s">
        <v>183</v>
      </c>
      <c r="F84" s="6" t="s">
        <v>40</v>
      </c>
      <c r="G84" s="6" t="s">
        <v>29</v>
      </c>
      <c r="H84" s="11"/>
      <c r="I84" s="6" t="s">
        <v>33</v>
      </c>
    </row>
    <row r="85">
      <c r="A85" s="6" t="s">
        <v>70</v>
      </c>
      <c r="B85" s="9">
        <v>64.0</v>
      </c>
      <c r="C85" s="9">
        <v>1.07</v>
      </c>
      <c r="D85" s="6" t="s">
        <v>183</v>
      </c>
      <c r="E85" s="6" t="s">
        <v>186</v>
      </c>
      <c r="F85" s="6">
        <v>9.0</v>
      </c>
      <c r="G85" s="6" t="s">
        <v>49</v>
      </c>
      <c r="H85" s="9">
        <v>7.0</v>
      </c>
      <c r="I85" s="11"/>
    </row>
    <row r="86">
      <c r="A86" s="6" t="s">
        <v>70</v>
      </c>
      <c r="B86" s="9">
        <v>64.0</v>
      </c>
      <c r="C86" s="9">
        <v>1.07</v>
      </c>
      <c r="D86" s="6" t="s">
        <v>186</v>
      </c>
      <c r="E86" s="6" t="s">
        <v>189</v>
      </c>
      <c r="F86" s="6" t="s">
        <v>190</v>
      </c>
      <c r="G86" s="6" t="s">
        <v>49</v>
      </c>
      <c r="H86" s="9">
        <v>21.0</v>
      </c>
      <c r="I86" s="11"/>
    </row>
    <row r="87">
      <c r="A87" s="6" t="s">
        <v>70</v>
      </c>
      <c r="B87" s="9">
        <v>64.0</v>
      </c>
      <c r="C87" s="9">
        <v>1.07</v>
      </c>
      <c r="D87" s="6" t="s">
        <v>189</v>
      </c>
      <c r="E87" s="6" t="s">
        <v>52</v>
      </c>
      <c r="F87" s="6" t="s">
        <v>40</v>
      </c>
      <c r="G87" s="6" t="s">
        <v>29</v>
      </c>
      <c r="H87" s="11"/>
      <c r="I87" s="6" t="s">
        <v>33</v>
      </c>
    </row>
    <row r="88">
      <c r="A88" s="6" t="s">
        <v>70</v>
      </c>
      <c r="B88" s="9">
        <v>64.0</v>
      </c>
      <c r="C88" s="9">
        <v>1.07</v>
      </c>
      <c r="D88" s="6" t="s">
        <v>52</v>
      </c>
      <c r="E88" s="6" t="s">
        <v>53</v>
      </c>
      <c r="F88" s="6">
        <v>1.0</v>
      </c>
      <c r="G88" s="6" t="s">
        <v>49</v>
      </c>
      <c r="H88" s="9">
        <v>3.0</v>
      </c>
      <c r="I88" s="11"/>
    </row>
    <row r="89">
      <c r="A89" s="6" t="s">
        <v>70</v>
      </c>
      <c r="B89" s="9">
        <v>64.0</v>
      </c>
      <c r="C89" s="9">
        <v>1.07</v>
      </c>
      <c r="D89" s="6" t="s">
        <v>53</v>
      </c>
      <c r="E89" s="6" t="s">
        <v>53</v>
      </c>
      <c r="F89" s="6" t="s">
        <v>57</v>
      </c>
      <c r="G89" s="6" t="s">
        <v>29</v>
      </c>
      <c r="H89" s="11"/>
      <c r="I89" s="6" t="s">
        <v>33</v>
      </c>
    </row>
    <row r="90">
      <c r="A90" s="6" t="s">
        <v>74</v>
      </c>
      <c r="B90" s="9">
        <v>65.0</v>
      </c>
      <c r="C90" s="9">
        <v>1.08</v>
      </c>
      <c r="D90" s="6" t="s">
        <v>25</v>
      </c>
      <c r="E90" s="6" t="s">
        <v>26</v>
      </c>
      <c r="F90" s="6" t="s">
        <v>27</v>
      </c>
      <c r="G90" s="6" t="s">
        <v>29</v>
      </c>
      <c r="H90" s="11"/>
      <c r="I90" s="6" t="s">
        <v>33</v>
      </c>
    </row>
    <row r="91">
      <c r="A91" s="6" t="s">
        <v>74</v>
      </c>
      <c r="B91" s="9">
        <v>65.0</v>
      </c>
      <c r="C91" s="9">
        <v>1.08</v>
      </c>
      <c r="D91" s="6" t="s">
        <v>26</v>
      </c>
      <c r="E91" s="6" t="s">
        <v>36</v>
      </c>
      <c r="F91" s="6" t="s">
        <v>37</v>
      </c>
      <c r="G91" s="6" t="s">
        <v>38</v>
      </c>
      <c r="H91" s="9">
        <v>33.0</v>
      </c>
      <c r="I91" s="11"/>
    </row>
    <row r="92">
      <c r="A92" s="6" t="s">
        <v>74</v>
      </c>
      <c r="B92" s="9">
        <v>65.0</v>
      </c>
      <c r="C92" s="9">
        <v>1.08</v>
      </c>
      <c r="D92" s="6" t="s">
        <v>36</v>
      </c>
      <c r="E92" s="6" t="s">
        <v>183</v>
      </c>
      <c r="F92" s="6" t="s">
        <v>40</v>
      </c>
      <c r="G92" s="6" t="s">
        <v>29</v>
      </c>
      <c r="H92" s="11"/>
      <c r="I92" s="6" t="s">
        <v>33</v>
      </c>
    </row>
    <row r="93">
      <c r="A93" s="6" t="s">
        <v>74</v>
      </c>
      <c r="B93" s="9">
        <v>65.0</v>
      </c>
      <c r="C93" s="9">
        <v>1.08</v>
      </c>
      <c r="D93" s="6" t="s">
        <v>183</v>
      </c>
      <c r="E93" s="6" t="s">
        <v>199</v>
      </c>
      <c r="F93" s="6">
        <v>9.0</v>
      </c>
      <c r="G93" s="6" t="s">
        <v>49</v>
      </c>
      <c r="H93" s="9">
        <v>12.0</v>
      </c>
      <c r="I93" s="11"/>
    </row>
    <row r="94">
      <c r="A94" s="6" t="s">
        <v>74</v>
      </c>
      <c r="B94" s="9">
        <v>65.0</v>
      </c>
      <c r="C94" s="9">
        <v>1.08</v>
      </c>
      <c r="D94" s="6" t="s">
        <v>199</v>
      </c>
      <c r="E94" s="6" t="s">
        <v>202</v>
      </c>
      <c r="F94" s="6" t="s">
        <v>40</v>
      </c>
      <c r="G94" s="6" t="s">
        <v>29</v>
      </c>
      <c r="H94" s="11"/>
      <c r="I94" s="6" t="s">
        <v>33</v>
      </c>
    </row>
    <row r="95">
      <c r="A95" s="6" t="s">
        <v>74</v>
      </c>
      <c r="B95" s="9">
        <v>65.0</v>
      </c>
      <c r="C95" s="9">
        <v>1.08</v>
      </c>
      <c r="D95" s="6" t="s">
        <v>202</v>
      </c>
      <c r="E95" s="6" t="s">
        <v>46</v>
      </c>
      <c r="F95" s="6">
        <v>13.0</v>
      </c>
      <c r="G95" s="6" t="s">
        <v>49</v>
      </c>
      <c r="H95" s="9">
        <v>17.0</v>
      </c>
      <c r="I95" s="11"/>
    </row>
    <row r="96">
      <c r="A96" s="6" t="s">
        <v>74</v>
      </c>
      <c r="B96" s="9">
        <v>65.0</v>
      </c>
      <c r="C96" s="9">
        <v>1.08</v>
      </c>
      <c r="D96" s="6" t="s">
        <v>46</v>
      </c>
      <c r="E96" s="6" t="s">
        <v>52</v>
      </c>
      <c r="F96" s="6" t="s">
        <v>40</v>
      </c>
      <c r="G96" s="6" t="s">
        <v>29</v>
      </c>
      <c r="H96" s="11"/>
      <c r="I96" s="6" t="s">
        <v>33</v>
      </c>
    </row>
    <row r="97">
      <c r="A97" s="6" t="s">
        <v>74</v>
      </c>
      <c r="B97" s="9">
        <v>65.0</v>
      </c>
      <c r="C97" s="9">
        <v>1.08</v>
      </c>
      <c r="D97" s="6" t="s">
        <v>52</v>
      </c>
      <c r="E97" s="6" t="s">
        <v>53</v>
      </c>
      <c r="F97" s="6">
        <v>1.0</v>
      </c>
      <c r="G97" s="6" t="s">
        <v>49</v>
      </c>
      <c r="H97" s="9">
        <v>3.0</v>
      </c>
      <c r="I97" s="11"/>
    </row>
    <row r="98">
      <c r="A98" s="6" t="s">
        <v>74</v>
      </c>
      <c r="B98" s="9">
        <v>65.0</v>
      </c>
      <c r="C98" s="9">
        <v>1.08</v>
      </c>
      <c r="D98" s="6" t="s">
        <v>53</v>
      </c>
      <c r="E98" s="6" t="s">
        <v>53</v>
      </c>
      <c r="F98" s="6" t="s">
        <v>57</v>
      </c>
      <c r="G98" s="6" t="s">
        <v>29</v>
      </c>
      <c r="H98" s="11"/>
      <c r="I98" s="6" t="s">
        <v>33</v>
      </c>
    </row>
    <row r="99">
      <c r="A99" s="6" t="s">
        <v>76</v>
      </c>
      <c r="B99" s="9">
        <v>65.0</v>
      </c>
      <c r="C99" s="9">
        <v>1.08</v>
      </c>
      <c r="D99" s="6" t="s">
        <v>25</v>
      </c>
      <c r="E99" s="6" t="s">
        <v>26</v>
      </c>
      <c r="F99" s="6" t="s">
        <v>27</v>
      </c>
      <c r="G99" s="6" t="s">
        <v>29</v>
      </c>
      <c r="H99" s="11"/>
      <c r="I99" s="6" t="s">
        <v>33</v>
      </c>
    </row>
    <row r="100">
      <c r="A100" s="6" t="s">
        <v>76</v>
      </c>
      <c r="B100" s="9">
        <v>65.0</v>
      </c>
      <c r="C100" s="9">
        <v>1.08</v>
      </c>
      <c r="D100" s="6" t="s">
        <v>26</v>
      </c>
      <c r="E100" s="6" t="s">
        <v>36</v>
      </c>
      <c r="F100" s="6" t="s">
        <v>37</v>
      </c>
      <c r="G100" s="6" t="s">
        <v>38</v>
      </c>
      <c r="H100" s="9">
        <v>33.0</v>
      </c>
      <c r="I100" s="11"/>
    </row>
    <row r="101">
      <c r="A101" s="6" t="s">
        <v>76</v>
      </c>
      <c r="B101" s="9">
        <v>65.0</v>
      </c>
      <c r="C101" s="9">
        <v>1.08</v>
      </c>
      <c r="D101" s="6" t="s">
        <v>36</v>
      </c>
      <c r="E101" s="6" t="s">
        <v>183</v>
      </c>
      <c r="F101" s="6" t="s">
        <v>40</v>
      </c>
      <c r="G101" s="6" t="s">
        <v>29</v>
      </c>
      <c r="H101" s="11"/>
      <c r="I101" s="6" t="s">
        <v>33</v>
      </c>
    </row>
    <row r="102">
      <c r="A102" s="6" t="s">
        <v>76</v>
      </c>
      <c r="B102" s="9">
        <v>65.0</v>
      </c>
      <c r="C102" s="9">
        <v>1.08</v>
      </c>
      <c r="D102" s="6" t="s">
        <v>183</v>
      </c>
      <c r="E102" s="6" t="s">
        <v>186</v>
      </c>
      <c r="F102" s="6">
        <v>9.0</v>
      </c>
      <c r="G102" s="6" t="s">
        <v>49</v>
      </c>
      <c r="H102" s="9">
        <v>7.0</v>
      </c>
      <c r="I102" s="11"/>
    </row>
    <row r="103">
      <c r="A103" s="6" t="s">
        <v>76</v>
      </c>
      <c r="B103" s="9">
        <v>65.0</v>
      </c>
      <c r="C103" s="9">
        <v>1.08</v>
      </c>
      <c r="D103" s="6" t="s">
        <v>186</v>
      </c>
      <c r="E103" s="6" t="s">
        <v>203</v>
      </c>
      <c r="F103" s="6" t="s">
        <v>204</v>
      </c>
      <c r="G103" s="6" t="s">
        <v>49</v>
      </c>
      <c r="H103" s="9">
        <v>7.0</v>
      </c>
      <c r="I103" s="11"/>
    </row>
    <row r="104">
      <c r="A104" s="6" t="s">
        <v>76</v>
      </c>
      <c r="B104" s="9">
        <v>65.0</v>
      </c>
      <c r="C104" s="9">
        <v>1.08</v>
      </c>
      <c r="D104" s="6" t="s">
        <v>203</v>
      </c>
      <c r="E104" s="6" t="s">
        <v>202</v>
      </c>
      <c r="F104" s="6" t="s">
        <v>40</v>
      </c>
      <c r="G104" s="6" t="s">
        <v>29</v>
      </c>
      <c r="H104" s="11"/>
      <c r="I104" s="6" t="s">
        <v>33</v>
      </c>
    </row>
    <row r="105">
      <c r="A105" s="6" t="s">
        <v>76</v>
      </c>
      <c r="B105" s="9">
        <v>65.0</v>
      </c>
      <c r="C105" s="9">
        <v>1.08</v>
      </c>
      <c r="D105" s="6" t="s">
        <v>202</v>
      </c>
      <c r="E105" s="6" t="s">
        <v>115</v>
      </c>
      <c r="F105" s="6" t="s">
        <v>207</v>
      </c>
      <c r="G105" s="6" t="s">
        <v>49</v>
      </c>
      <c r="H105" s="9">
        <v>18.0</v>
      </c>
      <c r="I105" s="11"/>
    </row>
    <row r="106">
      <c r="A106" s="6" t="s">
        <v>76</v>
      </c>
      <c r="B106" s="9">
        <v>65.0</v>
      </c>
      <c r="C106" s="9">
        <v>1.08</v>
      </c>
      <c r="D106" s="6" t="s">
        <v>115</v>
      </c>
      <c r="E106" s="6" t="s">
        <v>53</v>
      </c>
      <c r="F106" s="6" t="s">
        <v>57</v>
      </c>
      <c r="G106" s="6" t="s">
        <v>29</v>
      </c>
      <c r="H106" s="11"/>
      <c r="I106" s="6" t="s">
        <v>33</v>
      </c>
    </row>
    <row r="107">
      <c r="A107" s="6" t="s">
        <v>78</v>
      </c>
      <c r="B107" s="9">
        <v>75.0</v>
      </c>
      <c r="C107" s="9">
        <v>1.25</v>
      </c>
      <c r="D107" s="6" t="s">
        <v>25</v>
      </c>
      <c r="E107" s="6" t="s">
        <v>26</v>
      </c>
      <c r="F107" s="6" t="s">
        <v>27</v>
      </c>
      <c r="G107" s="6" t="s">
        <v>29</v>
      </c>
      <c r="H107" s="11"/>
      <c r="I107" s="6" t="s">
        <v>33</v>
      </c>
    </row>
    <row r="108">
      <c r="A108" s="6" t="s">
        <v>78</v>
      </c>
      <c r="B108" s="9">
        <v>75.0</v>
      </c>
      <c r="C108" s="9">
        <v>1.25</v>
      </c>
      <c r="D108" s="6" t="s">
        <v>26</v>
      </c>
      <c r="E108" s="6" t="s">
        <v>36</v>
      </c>
      <c r="F108" s="6" t="s">
        <v>37</v>
      </c>
      <c r="G108" s="6" t="s">
        <v>38</v>
      </c>
      <c r="H108" s="9">
        <v>33.0</v>
      </c>
      <c r="I108" s="11"/>
    </row>
    <row r="109">
      <c r="A109" s="6" t="s">
        <v>78</v>
      </c>
      <c r="B109" s="9">
        <v>75.0</v>
      </c>
      <c r="C109" s="9">
        <v>1.25</v>
      </c>
      <c r="D109" s="6" t="s">
        <v>36</v>
      </c>
      <c r="E109" s="6" t="s">
        <v>183</v>
      </c>
      <c r="F109" s="6" t="s">
        <v>40</v>
      </c>
      <c r="G109" s="6" t="s">
        <v>29</v>
      </c>
      <c r="H109" s="11"/>
      <c r="I109" s="6" t="s">
        <v>33</v>
      </c>
    </row>
    <row r="110">
      <c r="A110" s="6" t="s">
        <v>78</v>
      </c>
      <c r="B110" s="9">
        <v>75.0</v>
      </c>
      <c r="C110" s="9">
        <v>1.25</v>
      </c>
      <c r="D110" s="6" t="s">
        <v>183</v>
      </c>
      <c r="E110" s="6" t="s">
        <v>186</v>
      </c>
      <c r="F110" s="6">
        <v>9.0</v>
      </c>
      <c r="G110" s="6" t="s">
        <v>49</v>
      </c>
      <c r="H110" s="9">
        <v>7.0</v>
      </c>
      <c r="I110" s="11"/>
    </row>
    <row r="111">
      <c r="A111" s="6" t="s">
        <v>78</v>
      </c>
      <c r="B111" s="9">
        <v>75.0</v>
      </c>
      <c r="C111" s="9">
        <v>1.25</v>
      </c>
      <c r="D111" s="6" t="s">
        <v>186</v>
      </c>
      <c r="E111" s="6" t="s">
        <v>52</v>
      </c>
      <c r="F111" s="6" t="s">
        <v>208</v>
      </c>
      <c r="G111" s="6" t="s">
        <v>49</v>
      </c>
      <c r="H111" s="9">
        <v>32.0</v>
      </c>
      <c r="I111" s="11"/>
    </row>
    <row r="112">
      <c r="A112" s="6" t="s">
        <v>78</v>
      </c>
      <c r="B112" s="9">
        <v>75.0</v>
      </c>
      <c r="C112" s="9">
        <v>1.25</v>
      </c>
      <c r="D112" s="6" t="s">
        <v>52</v>
      </c>
      <c r="E112" s="6" t="s">
        <v>53</v>
      </c>
      <c r="F112" s="6">
        <v>1.0</v>
      </c>
      <c r="G112" s="6" t="s">
        <v>49</v>
      </c>
      <c r="H112" s="9">
        <v>3.0</v>
      </c>
      <c r="I112" s="11"/>
    </row>
    <row r="113">
      <c r="A113" s="6" t="s">
        <v>78</v>
      </c>
      <c r="B113" s="9">
        <v>75.0</v>
      </c>
      <c r="C113" s="9">
        <v>1.25</v>
      </c>
      <c r="D113" s="6" t="s">
        <v>53</v>
      </c>
      <c r="E113" s="6" t="s">
        <v>53</v>
      </c>
      <c r="F113" s="6" t="s">
        <v>57</v>
      </c>
      <c r="G113" s="6" t="s">
        <v>29</v>
      </c>
      <c r="H113" s="11"/>
      <c r="I113" s="6" t="s">
        <v>33</v>
      </c>
    </row>
    <row r="114">
      <c r="A114" s="6" t="s">
        <v>81</v>
      </c>
      <c r="B114" s="9">
        <v>74.0</v>
      </c>
      <c r="C114" s="9">
        <v>1.23</v>
      </c>
      <c r="D114" s="6" t="s">
        <v>25</v>
      </c>
      <c r="E114" s="6" t="s">
        <v>26</v>
      </c>
      <c r="F114" s="6" t="s">
        <v>27</v>
      </c>
      <c r="G114" s="6" t="s">
        <v>29</v>
      </c>
      <c r="H114" s="11"/>
      <c r="I114" s="6" t="s">
        <v>33</v>
      </c>
    </row>
    <row r="115">
      <c r="A115" s="6" t="s">
        <v>81</v>
      </c>
      <c r="B115" s="9">
        <v>74.0</v>
      </c>
      <c r="C115" s="9">
        <v>1.23</v>
      </c>
      <c r="D115" s="6" t="s">
        <v>26</v>
      </c>
      <c r="E115" s="6" t="s">
        <v>36</v>
      </c>
      <c r="F115" s="6" t="s">
        <v>37</v>
      </c>
      <c r="G115" s="6" t="s">
        <v>38</v>
      </c>
      <c r="H115" s="9">
        <v>33.0</v>
      </c>
      <c r="I115" s="11"/>
    </row>
    <row r="116">
      <c r="A116" s="6" t="s">
        <v>81</v>
      </c>
      <c r="B116" s="9">
        <v>74.0</v>
      </c>
      <c r="C116" s="9">
        <v>1.23</v>
      </c>
      <c r="D116" s="6" t="s">
        <v>36</v>
      </c>
      <c r="E116" s="6" t="s">
        <v>183</v>
      </c>
      <c r="F116" s="6" t="s">
        <v>40</v>
      </c>
      <c r="G116" s="6" t="s">
        <v>29</v>
      </c>
      <c r="H116" s="11"/>
      <c r="I116" s="6" t="s">
        <v>33</v>
      </c>
    </row>
    <row r="117">
      <c r="A117" s="6" t="s">
        <v>81</v>
      </c>
      <c r="B117" s="9">
        <v>74.0</v>
      </c>
      <c r="C117" s="9">
        <v>1.23</v>
      </c>
      <c r="D117" s="6" t="s">
        <v>183</v>
      </c>
      <c r="E117" s="6" t="s">
        <v>186</v>
      </c>
      <c r="F117" s="6">
        <v>9.0</v>
      </c>
      <c r="G117" s="6" t="s">
        <v>49</v>
      </c>
      <c r="H117" s="9">
        <v>7.0</v>
      </c>
      <c r="I117" s="11"/>
    </row>
    <row r="118">
      <c r="A118" s="6" t="s">
        <v>81</v>
      </c>
      <c r="B118" s="9">
        <v>74.0</v>
      </c>
      <c r="C118" s="9">
        <v>1.23</v>
      </c>
      <c r="D118" s="6" t="s">
        <v>186</v>
      </c>
      <c r="E118" s="6" t="s">
        <v>199</v>
      </c>
      <c r="F118" s="6">
        <v>9.0</v>
      </c>
      <c r="G118" s="6" t="s">
        <v>49</v>
      </c>
      <c r="H118" s="9">
        <v>13.0</v>
      </c>
      <c r="I118" s="11"/>
    </row>
    <row r="119">
      <c r="A119" s="6" t="s">
        <v>81</v>
      </c>
      <c r="B119" s="9">
        <v>74.0</v>
      </c>
      <c r="C119" s="9">
        <v>1.23</v>
      </c>
      <c r="D119" s="6" t="s">
        <v>199</v>
      </c>
      <c r="E119" s="6" t="s">
        <v>202</v>
      </c>
      <c r="F119" s="6" t="s">
        <v>40</v>
      </c>
      <c r="G119" s="6" t="s">
        <v>29</v>
      </c>
      <c r="H119" s="11"/>
      <c r="I119" s="6" t="s">
        <v>33</v>
      </c>
    </row>
    <row r="120">
      <c r="A120" s="6" t="s">
        <v>81</v>
      </c>
      <c r="B120" s="9">
        <v>74.0</v>
      </c>
      <c r="C120" s="9">
        <v>1.23</v>
      </c>
      <c r="D120" s="6" t="s">
        <v>202</v>
      </c>
      <c r="E120" s="6" t="s">
        <v>52</v>
      </c>
      <c r="F120" s="6" t="s">
        <v>209</v>
      </c>
      <c r="G120" s="6" t="s">
        <v>49</v>
      </c>
      <c r="H120" s="9">
        <v>18.0</v>
      </c>
      <c r="I120" s="11"/>
    </row>
    <row r="121">
      <c r="A121" s="6" t="s">
        <v>81</v>
      </c>
      <c r="B121" s="9">
        <v>74.0</v>
      </c>
      <c r="C121" s="9">
        <v>1.23</v>
      </c>
      <c r="D121" s="6" t="s">
        <v>52</v>
      </c>
      <c r="E121" s="6" t="s">
        <v>53</v>
      </c>
      <c r="F121" s="6">
        <v>1.0</v>
      </c>
      <c r="G121" s="6" t="s">
        <v>49</v>
      </c>
      <c r="H121" s="9">
        <v>3.0</v>
      </c>
      <c r="I121" s="11"/>
    </row>
    <row r="122">
      <c r="A122" s="6" t="s">
        <v>81</v>
      </c>
      <c r="B122" s="9">
        <v>74.0</v>
      </c>
      <c r="C122" s="9">
        <v>1.23</v>
      </c>
      <c r="D122" s="6" t="s">
        <v>53</v>
      </c>
      <c r="E122" s="6" t="s">
        <v>53</v>
      </c>
      <c r="F122" s="6" t="s">
        <v>57</v>
      </c>
      <c r="G122" s="6" t="s">
        <v>29</v>
      </c>
      <c r="H122" s="11"/>
      <c r="I122" s="6" t="s">
        <v>33</v>
      </c>
    </row>
    <row r="123">
      <c r="A123" s="6" t="s">
        <v>83</v>
      </c>
      <c r="B123" s="9">
        <v>71.0</v>
      </c>
      <c r="C123" s="9">
        <v>1.18</v>
      </c>
      <c r="D123" s="6" t="s">
        <v>25</v>
      </c>
      <c r="E123" s="6" t="s">
        <v>26</v>
      </c>
      <c r="F123" s="6" t="s">
        <v>27</v>
      </c>
      <c r="G123" s="6" t="s">
        <v>29</v>
      </c>
      <c r="H123" s="11"/>
      <c r="I123" s="6" t="s">
        <v>33</v>
      </c>
    </row>
    <row r="124">
      <c r="A124" s="6" t="s">
        <v>83</v>
      </c>
      <c r="B124" s="9">
        <v>71.0</v>
      </c>
      <c r="C124" s="9">
        <v>1.18</v>
      </c>
      <c r="D124" s="6" t="s">
        <v>26</v>
      </c>
      <c r="E124" s="6" t="s">
        <v>36</v>
      </c>
      <c r="F124" s="6" t="s">
        <v>37</v>
      </c>
      <c r="G124" s="6" t="s">
        <v>38</v>
      </c>
      <c r="H124" s="9">
        <v>33.0</v>
      </c>
      <c r="I124" s="11"/>
    </row>
    <row r="125">
      <c r="A125" s="6" t="s">
        <v>83</v>
      </c>
      <c r="B125" s="9">
        <v>71.0</v>
      </c>
      <c r="C125" s="9">
        <v>1.18</v>
      </c>
      <c r="D125" s="6" t="s">
        <v>36</v>
      </c>
      <c r="E125" s="6" t="s">
        <v>183</v>
      </c>
      <c r="F125" s="6" t="s">
        <v>40</v>
      </c>
      <c r="G125" s="6" t="s">
        <v>29</v>
      </c>
      <c r="H125" s="11"/>
      <c r="I125" s="6" t="s">
        <v>33</v>
      </c>
    </row>
    <row r="126">
      <c r="A126" s="6" t="s">
        <v>83</v>
      </c>
      <c r="B126" s="9">
        <v>71.0</v>
      </c>
      <c r="C126" s="9">
        <v>1.18</v>
      </c>
      <c r="D126" s="6" t="s">
        <v>183</v>
      </c>
      <c r="E126" s="6" t="s">
        <v>186</v>
      </c>
      <c r="F126" s="6">
        <v>9.0</v>
      </c>
      <c r="G126" s="6" t="s">
        <v>49</v>
      </c>
      <c r="H126" s="9">
        <v>7.0</v>
      </c>
      <c r="I126" s="11"/>
    </row>
    <row r="127">
      <c r="A127" s="6" t="s">
        <v>83</v>
      </c>
      <c r="B127" s="9">
        <v>71.0</v>
      </c>
      <c r="C127" s="9">
        <v>1.18</v>
      </c>
      <c r="D127" s="6" t="s">
        <v>186</v>
      </c>
      <c r="E127" s="6" t="s">
        <v>199</v>
      </c>
      <c r="F127" s="6">
        <v>9.0</v>
      </c>
      <c r="G127" s="6" t="s">
        <v>49</v>
      </c>
      <c r="H127" s="9">
        <v>13.0</v>
      </c>
      <c r="I127" s="11"/>
    </row>
    <row r="128">
      <c r="A128" s="6" t="s">
        <v>83</v>
      </c>
      <c r="B128" s="9">
        <v>71.0</v>
      </c>
      <c r="C128" s="9">
        <v>1.18</v>
      </c>
      <c r="D128" s="6" t="s">
        <v>199</v>
      </c>
      <c r="E128" s="6" t="s">
        <v>202</v>
      </c>
      <c r="F128" s="6" t="s">
        <v>40</v>
      </c>
      <c r="G128" s="6" t="s">
        <v>29</v>
      </c>
      <c r="H128" s="11"/>
      <c r="I128" s="6" t="s">
        <v>33</v>
      </c>
    </row>
    <row r="129">
      <c r="A129" s="6" t="s">
        <v>83</v>
      </c>
      <c r="B129" s="9">
        <v>71.0</v>
      </c>
      <c r="C129" s="9">
        <v>1.18</v>
      </c>
      <c r="D129" s="6" t="s">
        <v>202</v>
      </c>
      <c r="E129" s="6" t="s">
        <v>115</v>
      </c>
      <c r="F129" s="6" t="s">
        <v>207</v>
      </c>
      <c r="G129" s="6" t="s">
        <v>49</v>
      </c>
      <c r="H129" s="9">
        <v>18.0</v>
      </c>
      <c r="I129" s="11"/>
    </row>
    <row r="130">
      <c r="A130" s="6" t="s">
        <v>83</v>
      </c>
      <c r="B130" s="9">
        <v>71.0</v>
      </c>
      <c r="C130" s="9">
        <v>1.18</v>
      </c>
      <c r="D130" s="6" t="s">
        <v>115</v>
      </c>
      <c r="E130" s="6" t="s">
        <v>53</v>
      </c>
      <c r="F130" s="6" t="s">
        <v>57</v>
      </c>
      <c r="G130" s="6" t="s">
        <v>29</v>
      </c>
      <c r="H130" s="11"/>
      <c r="I130" s="6" t="s">
        <v>33</v>
      </c>
    </row>
    <row r="131">
      <c r="A131" s="6" t="s">
        <v>85</v>
      </c>
      <c r="B131" s="9">
        <v>75.0</v>
      </c>
      <c r="C131" s="9">
        <v>1.25</v>
      </c>
      <c r="D131" s="6" t="s">
        <v>25</v>
      </c>
      <c r="E131" s="6" t="s">
        <v>26</v>
      </c>
      <c r="F131" s="6" t="s">
        <v>27</v>
      </c>
      <c r="G131" s="6" t="s">
        <v>29</v>
      </c>
      <c r="H131" s="11"/>
      <c r="I131" s="6" t="s">
        <v>33</v>
      </c>
    </row>
    <row r="132">
      <c r="A132" s="6" t="s">
        <v>85</v>
      </c>
      <c r="B132" s="9">
        <v>75.0</v>
      </c>
      <c r="C132" s="9">
        <v>1.25</v>
      </c>
      <c r="D132" s="6" t="s">
        <v>26</v>
      </c>
      <c r="E132" s="6" t="s">
        <v>36</v>
      </c>
      <c r="F132" s="6" t="s">
        <v>37</v>
      </c>
      <c r="G132" s="6" t="s">
        <v>38</v>
      </c>
      <c r="H132" s="9">
        <v>33.0</v>
      </c>
      <c r="I132" s="11"/>
    </row>
    <row r="133">
      <c r="A133" s="6" t="s">
        <v>85</v>
      </c>
      <c r="B133" s="9">
        <v>75.0</v>
      </c>
      <c r="C133" s="9">
        <v>1.25</v>
      </c>
      <c r="D133" s="6" t="s">
        <v>36</v>
      </c>
      <c r="E133" s="6" t="s">
        <v>183</v>
      </c>
      <c r="F133" s="6" t="s">
        <v>40</v>
      </c>
      <c r="G133" s="6" t="s">
        <v>29</v>
      </c>
      <c r="H133" s="11"/>
      <c r="I133" s="6" t="s">
        <v>33</v>
      </c>
    </row>
    <row r="134">
      <c r="A134" s="6" t="s">
        <v>85</v>
      </c>
      <c r="B134" s="9">
        <v>75.0</v>
      </c>
      <c r="C134" s="9">
        <v>1.25</v>
      </c>
      <c r="D134" s="6" t="s">
        <v>183</v>
      </c>
      <c r="E134" s="6" t="s">
        <v>186</v>
      </c>
      <c r="F134" s="6">
        <v>9.0</v>
      </c>
      <c r="G134" s="6" t="s">
        <v>49</v>
      </c>
      <c r="H134" s="9">
        <v>7.0</v>
      </c>
      <c r="I134" s="11"/>
    </row>
    <row r="135">
      <c r="A135" s="6" t="s">
        <v>85</v>
      </c>
      <c r="B135" s="9">
        <v>75.0</v>
      </c>
      <c r="C135" s="9">
        <v>1.25</v>
      </c>
      <c r="D135" s="6" t="s">
        <v>186</v>
      </c>
      <c r="E135" s="6" t="s">
        <v>210</v>
      </c>
      <c r="F135" s="6" t="s">
        <v>211</v>
      </c>
      <c r="G135" s="6" t="s">
        <v>49</v>
      </c>
      <c r="H135" s="9">
        <v>22.0</v>
      </c>
      <c r="I135" s="11"/>
    </row>
    <row r="136">
      <c r="A136" s="6" t="s">
        <v>85</v>
      </c>
      <c r="B136" s="9">
        <v>75.0</v>
      </c>
      <c r="C136" s="9">
        <v>1.25</v>
      </c>
      <c r="D136" s="6" t="s">
        <v>210</v>
      </c>
      <c r="E136" s="6" t="s">
        <v>53</v>
      </c>
      <c r="F136" s="6">
        <v>1.0</v>
      </c>
      <c r="G136" s="6" t="s">
        <v>49</v>
      </c>
      <c r="H136" s="9">
        <v>13.0</v>
      </c>
      <c r="I136" s="11"/>
    </row>
    <row r="137">
      <c r="A137" s="6" t="s">
        <v>85</v>
      </c>
      <c r="B137" s="9">
        <v>75.0</v>
      </c>
      <c r="C137" s="9">
        <v>1.25</v>
      </c>
      <c r="D137" s="6" t="s">
        <v>53</v>
      </c>
      <c r="E137" s="6" t="s">
        <v>53</v>
      </c>
      <c r="F137" s="6" t="s">
        <v>57</v>
      </c>
      <c r="G137" s="6" t="s">
        <v>29</v>
      </c>
      <c r="H137" s="11"/>
      <c r="I137" s="6" t="s">
        <v>33</v>
      </c>
    </row>
    <row r="138">
      <c r="A138" s="6" t="s">
        <v>88</v>
      </c>
      <c r="B138" s="9">
        <v>64.0</v>
      </c>
      <c r="C138" s="9">
        <v>1.07</v>
      </c>
      <c r="D138" s="6" t="s">
        <v>25</v>
      </c>
      <c r="E138" s="6" t="s">
        <v>26</v>
      </c>
      <c r="F138" s="6" t="s">
        <v>27</v>
      </c>
      <c r="G138" s="6" t="s">
        <v>29</v>
      </c>
      <c r="H138" s="11"/>
      <c r="I138" s="6" t="s">
        <v>33</v>
      </c>
    </row>
    <row r="139">
      <c r="A139" s="6" t="s">
        <v>88</v>
      </c>
      <c r="B139" s="9">
        <v>64.0</v>
      </c>
      <c r="C139" s="9">
        <v>1.07</v>
      </c>
      <c r="D139" s="6" t="s">
        <v>26</v>
      </c>
      <c r="E139" s="6" t="s">
        <v>36</v>
      </c>
      <c r="F139" s="6" t="s">
        <v>37</v>
      </c>
      <c r="G139" s="6" t="s">
        <v>38</v>
      </c>
      <c r="H139" s="9">
        <v>33.0</v>
      </c>
      <c r="I139" s="11"/>
    </row>
    <row r="140">
      <c r="A140" s="6" t="s">
        <v>88</v>
      </c>
      <c r="B140" s="9">
        <v>64.0</v>
      </c>
      <c r="C140" s="9">
        <v>1.07</v>
      </c>
      <c r="D140" s="6" t="s">
        <v>36</v>
      </c>
      <c r="E140" s="6" t="s">
        <v>183</v>
      </c>
      <c r="F140" s="6" t="s">
        <v>40</v>
      </c>
      <c r="G140" s="6" t="s">
        <v>29</v>
      </c>
      <c r="H140" s="11"/>
      <c r="I140" s="6" t="s">
        <v>33</v>
      </c>
    </row>
    <row r="141">
      <c r="A141" s="6" t="s">
        <v>88</v>
      </c>
      <c r="B141" s="9">
        <v>64.0</v>
      </c>
      <c r="C141" s="9">
        <v>1.07</v>
      </c>
      <c r="D141" s="6" t="s">
        <v>183</v>
      </c>
      <c r="E141" s="6" t="s">
        <v>213</v>
      </c>
      <c r="F141" s="6">
        <v>9.0</v>
      </c>
      <c r="G141" s="6" t="s">
        <v>49</v>
      </c>
      <c r="H141" s="9">
        <v>22.0</v>
      </c>
      <c r="I141" s="11"/>
    </row>
    <row r="142">
      <c r="A142" s="6" t="s">
        <v>88</v>
      </c>
      <c r="B142" s="9">
        <v>64.0</v>
      </c>
      <c r="C142" s="9">
        <v>1.07</v>
      </c>
      <c r="D142" s="6" t="s">
        <v>213</v>
      </c>
      <c r="E142" s="6" t="s">
        <v>214</v>
      </c>
      <c r="F142" s="6" t="s">
        <v>40</v>
      </c>
      <c r="G142" s="6" t="s">
        <v>29</v>
      </c>
      <c r="H142" s="11"/>
      <c r="I142" s="6" t="s">
        <v>33</v>
      </c>
    </row>
    <row r="143">
      <c r="A143" s="6" t="s">
        <v>88</v>
      </c>
      <c r="B143" s="9">
        <v>64.0</v>
      </c>
      <c r="C143" s="9">
        <v>1.07</v>
      </c>
      <c r="D143" s="6" t="s">
        <v>214</v>
      </c>
      <c r="E143" s="6" t="s">
        <v>69</v>
      </c>
      <c r="F143" s="6" t="s">
        <v>71</v>
      </c>
      <c r="G143" s="6" t="s">
        <v>73</v>
      </c>
      <c r="H143" s="9">
        <v>9.0</v>
      </c>
      <c r="I143" s="11"/>
    </row>
    <row r="144">
      <c r="A144" s="6" t="s">
        <v>88</v>
      </c>
      <c r="B144" s="9">
        <v>64.0</v>
      </c>
      <c r="C144" s="9">
        <v>1.07</v>
      </c>
      <c r="D144" s="6" t="s">
        <v>69</v>
      </c>
      <c r="E144" s="6" t="s">
        <v>53</v>
      </c>
      <c r="F144" s="6" t="s">
        <v>57</v>
      </c>
      <c r="G144" s="6" t="s">
        <v>29</v>
      </c>
      <c r="H144" s="11"/>
      <c r="I144" s="6" t="s">
        <v>33</v>
      </c>
    </row>
    <row r="145">
      <c r="A145" s="6" t="s">
        <v>90</v>
      </c>
      <c r="B145" s="9">
        <v>63.0</v>
      </c>
      <c r="C145" s="9">
        <v>1.05</v>
      </c>
      <c r="D145" s="6" t="s">
        <v>25</v>
      </c>
      <c r="E145" s="6" t="s">
        <v>26</v>
      </c>
      <c r="F145" s="6" t="s">
        <v>27</v>
      </c>
      <c r="G145" s="6" t="s">
        <v>29</v>
      </c>
      <c r="H145" s="11"/>
      <c r="I145" s="6" t="s">
        <v>33</v>
      </c>
    </row>
    <row r="146">
      <c r="A146" s="6" t="s">
        <v>90</v>
      </c>
      <c r="B146" s="9">
        <v>63.0</v>
      </c>
      <c r="C146" s="9">
        <v>1.05</v>
      </c>
      <c r="D146" s="6" t="s">
        <v>26</v>
      </c>
      <c r="E146" s="6" t="s">
        <v>36</v>
      </c>
      <c r="F146" s="6" t="s">
        <v>37</v>
      </c>
      <c r="G146" s="6" t="s">
        <v>38</v>
      </c>
      <c r="H146" s="9">
        <v>33.0</v>
      </c>
      <c r="I146" s="11"/>
    </row>
    <row r="147">
      <c r="A147" s="6" t="s">
        <v>90</v>
      </c>
      <c r="B147" s="9">
        <v>63.0</v>
      </c>
      <c r="C147" s="9">
        <v>1.05</v>
      </c>
      <c r="D147" s="6" t="s">
        <v>36</v>
      </c>
      <c r="E147" s="6" t="s">
        <v>183</v>
      </c>
      <c r="F147" s="6" t="s">
        <v>40</v>
      </c>
      <c r="G147" s="6" t="s">
        <v>29</v>
      </c>
      <c r="H147" s="11"/>
      <c r="I147" s="6" t="s">
        <v>33</v>
      </c>
    </row>
    <row r="148">
      <c r="A148" s="6" t="s">
        <v>90</v>
      </c>
      <c r="B148" s="9">
        <v>63.0</v>
      </c>
      <c r="C148" s="9">
        <v>1.05</v>
      </c>
      <c r="D148" s="6" t="s">
        <v>183</v>
      </c>
      <c r="E148" s="6" t="s">
        <v>199</v>
      </c>
      <c r="F148" s="6">
        <v>9.0</v>
      </c>
      <c r="G148" s="6" t="s">
        <v>49</v>
      </c>
      <c r="H148" s="9">
        <v>12.0</v>
      </c>
      <c r="I148" s="11"/>
    </row>
    <row r="149">
      <c r="A149" s="6" t="s">
        <v>90</v>
      </c>
      <c r="B149" s="9">
        <v>63.0</v>
      </c>
      <c r="C149" s="9">
        <v>1.05</v>
      </c>
      <c r="D149" s="6" t="s">
        <v>199</v>
      </c>
      <c r="E149" s="6" t="s">
        <v>202</v>
      </c>
      <c r="F149" s="6" t="s">
        <v>40</v>
      </c>
      <c r="G149" s="6" t="s">
        <v>29</v>
      </c>
      <c r="H149" s="11"/>
      <c r="I149" s="6" t="s">
        <v>33</v>
      </c>
    </row>
    <row r="150">
      <c r="A150" s="6" t="s">
        <v>90</v>
      </c>
      <c r="B150" s="9">
        <v>63.0</v>
      </c>
      <c r="C150" s="9">
        <v>1.05</v>
      </c>
      <c r="D150" s="6" t="s">
        <v>202</v>
      </c>
      <c r="E150" s="6" t="s">
        <v>115</v>
      </c>
      <c r="F150" s="6" t="s">
        <v>207</v>
      </c>
      <c r="G150" s="6" t="s">
        <v>49</v>
      </c>
      <c r="H150" s="9">
        <v>18.0</v>
      </c>
      <c r="I150" s="11"/>
    </row>
    <row r="151">
      <c r="A151" s="6" t="s">
        <v>90</v>
      </c>
      <c r="B151" s="9">
        <v>63.0</v>
      </c>
      <c r="C151" s="9">
        <v>1.05</v>
      </c>
      <c r="D151" s="6" t="s">
        <v>115</v>
      </c>
      <c r="E151" s="6" t="s">
        <v>53</v>
      </c>
      <c r="F151" s="6" t="s">
        <v>57</v>
      </c>
      <c r="G151" s="6" t="s">
        <v>29</v>
      </c>
      <c r="H151" s="11"/>
      <c r="I151" s="6" t="s">
        <v>33</v>
      </c>
    </row>
    <row r="152">
      <c r="A152" s="6" t="s">
        <v>92</v>
      </c>
      <c r="B152" s="9">
        <v>76.0</v>
      </c>
      <c r="C152" s="9">
        <v>1.27</v>
      </c>
      <c r="D152" s="6" t="s">
        <v>25</v>
      </c>
      <c r="E152" s="6" t="s">
        <v>26</v>
      </c>
      <c r="F152" s="6" t="s">
        <v>27</v>
      </c>
      <c r="G152" s="6" t="s">
        <v>29</v>
      </c>
      <c r="H152" s="11"/>
      <c r="I152" s="6" t="s">
        <v>33</v>
      </c>
    </row>
    <row r="153">
      <c r="A153" s="6" t="s">
        <v>92</v>
      </c>
      <c r="B153" s="9">
        <v>76.0</v>
      </c>
      <c r="C153" s="9">
        <v>1.27</v>
      </c>
      <c r="D153" s="6" t="s">
        <v>26</v>
      </c>
      <c r="E153" s="6" t="s">
        <v>36</v>
      </c>
      <c r="F153" s="6" t="s">
        <v>37</v>
      </c>
      <c r="G153" s="6" t="s">
        <v>38</v>
      </c>
      <c r="H153" s="9">
        <v>33.0</v>
      </c>
      <c r="I153" s="11"/>
    </row>
    <row r="154">
      <c r="A154" s="6" t="s">
        <v>92</v>
      </c>
      <c r="B154" s="9">
        <v>76.0</v>
      </c>
      <c r="C154" s="9">
        <v>1.27</v>
      </c>
      <c r="D154" s="6" t="s">
        <v>36</v>
      </c>
      <c r="E154" s="6" t="s">
        <v>183</v>
      </c>
      <c r="F154" s="6" t="s">
        <v>40</v>
      </c>
      <c r="G154" s="6" t="s">
        <v>29</v>
      </c>
      <c r="H154" s="11"/>
      <c r="I154" s="6" t="s">
        <v>33</v>
      </c>
    </row>
    <row r="155">
      <c r="A155" s="6" t="s">
        <v>92</v>
      </c>
      <c r="B155" s="9">
        <v>76.0</v>
      </c>
      <c r="C155" s="9">
        <v>1.27</v>
      </c>
      <c r="D155" s="6" t="s">
        <v>183</v>
      </c>
      <c r="E155" s="6" t="s">
        <v>210</v>
      </c>
      <c r="F155" s="6" t="s">
        <v>211</v>
      </c>
      <c r="G155" s="6" t="s">
        <v>49</v>
      </c>
      <c r="H155" s="9">
        <v>30.0</v>
      </c>
      <c r="I155" s="11"/>
    </row>
    <row r="156">
      <c r="A156" s="6" t="s">
        <v>92</v>
      </c>
      <c r="B156" s="9">
        <v>76.0</v>
      </c>
      <c r="C156" s="9">
        <v>1.27</v>
      </c>
      <c r="D156" s="6" t="s">
        <v>210</v>
      </c>
      <c r="E156" s="6" t="s">
        <v>53</v>
      </c>
      <c r="F156" s="6">
        <v>1.0</v>
      </c>
      <c r="G156" s="6" t="s">
        <v>49</v>
      </c>
      <c r="H156" s="9">
        <v>13.0</v>
      </c>
      <c r="I156" s="11"/>
    </row>
    <row r="157">
      <c r="A157" s="6" t="s">
        <v>92</v>
      </c>
      <c r="B157" s="9">
        <v>76.0</v>
      </c>
      <c r="C157" s="9">
        <v>1.27</v>
      </c>
      <c r="D157" s="6" t="s">
        <v>53</v>
      </c>
      <c r="E157" s="6" t="s">
        <v>53</v>
      </c>
      <c r="F157" s="6" t="s">
        <v>57</v>
      </c>
      <c r="G157" s="6" t="s">
        <v>29</v>
      </c>
      <c r="H157" s="11"/>
      <c r="I157" s="6" t="s">
        <v>33</v>
      </c>
    </row>
    <row r="158">
      <c r="A158" s="6" t="s">
        <v>96</v>
      </c>
      <c r="B158" s="9">
        <v>76.0</v>
      </c>
      <c r="C158" s="9">
        <v>1.27</v>
      </c>
      <c r="D158" s="6" t="s">
        <v>25</v>
      </c>
      <c r="E158" s="6" t="s">
        <v>26</v>
      </c>
      <c r="F158" s="6" t="s">
        <v>27</v>
      </c>
      <c r="G158" s="6" t="s">
        <v>29</v>
      </c>
      <c r="H158" s="11"/>
      <c r="I158" s="6" t="s">
        <v>33</v>
      </c>
    </row>
    <row r="159">
      <c r="A159" s="6" t="s">
        <v>96</v>
      </c>
      <c r="B159" s="9">
        <v>76.0</v>
      </c>
      <c r="C159" s="9">
        <v>1.27</v>
      </c>
      <c r="D159" s="6" t="s">
        <v>26</v>
      </c>
      <c r="E159" s="6" t="s">
        <v>36</v>
      </c>
      <c r="F159" s="6" t="s">
        <v>37</v>
      </c>
      <c r="G159" s="6" t="s">
        <v>38</v>
      </c>
      <c r="H159" s="9">
        <v>33.0</v>
      </c>
      <c r="I159" s="11"/>
    </row>
    <row r="160">
      <c r="A160" s="6" t="s">
        <v>96</v>
      </c>
      <c r="B160" s="9">
        <v>76.0</v>
      </c>
      <c r="C160" s="9">
        <v>1.27</v>
      </c>
      <c r="D160" s="6" t="s">
        <v>36</v>
      </c>
      <c r="E160" s="6" t="s">
        <v>183</v>
      </c>
      <c r="F160" s="6" t="s">
        <v>40</v>
      </c>
      <c r="G160" s="6" t="s">
        <v>29</v>
      </c>
      <c r="H160" s="11"/>
      <c r="I160" s="6" t="s">
        <v>33</v>
      </c>
    </row>
    <row r="161">
      <c r="A161" s="6" t="s">
        <v>96</v>
      </c>
      <c r="B161" s="9">
        <v>76.0</v>
      </c>
      <c r="C161" s="9">
        <v>1.27</v>
      </c>
      <c r="D161" s="6" t="s">
        <v>183</v>
      </c>
      <c r="E161" s="6" t="s">
        <v>215</v>
      </c>
      <c r="F161" s="6" t="s">
        <v>211</v>
      </c>
      <c r="G161" s="6" t="s">
        <v>49</v>
      </c>
      <c r="H161" s="9">
        <v>33.0</v>
      </c>
      <c r="I161" s="11"/>
    </row>
    <row r="162">
      <c r="A162" s="6" t="s">
        <v>96</v>
      </c>
      <c r="B162" s="9">
        <v>76.0</v>
      </c>
      <c r="C162" s="9">
        <v>1.27</v>
      </c>
      <c r="D162" s="6" t="s">
        <v>215</v>
      </c>
      <c r="E162" s="6" t="s">
        <v>53</v>
      </c>
      <c r="F162" s="6">
        <v>1.0</v>
      </c>
      <c r="G162" s="6" t="s">
        <v>49</v>
      </c>
      <c r="H162" s="9">
        <v>10.0</v>
      </c>
      <c r="I162" s="11"/>
    </row>
    <row r="163">
      <c r="A163" s="6" t="s">
        <v>96</v>
      </c>
      <c r="B163" s="9">
        <v>76.0</v>
      </c>
      <c r="C163" s="9">
        <v>1.27</v>
      </c>
      <c r="D163" s="6" t="s">
        <v>53</v>
      </c>
      <c r="E163" s="6" t="s">
        <v>53</v>
      </c>
      <c r="F163" s="6" t="s">
        <v>57</v>
      </c>
      <c r="G163" s="6" t="s">
        <v>29</v>
      </c>
      <c r="H163" s="11"/>
      <c r="I163" s="6" t="s">
        <v>33</v>
      </c>
    </row>
    <row r="164">
      <c r="A164" s="6" t="s">
        <v>99</v>
      </c>
      <c r="B164" s="9">
        <v>65.0</v>
      </c>
      <c r="C164" s="9">
        <v>1.08</v>
      </c>
      <c r="D164" s="6" t="s">
        <v>25</v>
      </c>
      <c r="E164" s="6" t="s">
        <v>26</v>
      </c>
      <c r="F164" s="6" t="s">
        <v>27</v>
      </c>
      <c r="G164" s="6" t="s">
        <v>29</v>
      </c>
      <c r="H164" s="11"/>
      <c r="I164" s="6" t="s">
        <v>33</v>
      </c>
    </row>
    <row r="165">
      <c r="A165" s="6" t="s">
        <v>99</v>
      </c>
      <c r="B165" s="9">
        <v>65.0</v>
      </c>
      <c r="C165" s="9">
        <v>1.08</v>
      </c>
      <c r="D165" s="6" t="s">
        <v>26</v>
      </c>
      <c r="E165" s="6" t="s">
        <v>36</v>
      </c>
      <c r="F165" s="6" t="s">
        <v>37</v>
      </c>
      <c r="G165" s="6" t="s">
        <v>38</v>
      </c>
      <c r="H165" s="9">
        <v>33.0</v>
      </c>
      <c r="I165" s="11"/>
    </row>
    <row r="166">
      <c r="A166" s="6" t="s">
        <v>99</v>
      </c>
      <c r="B166" s="9">
        <v>65.0</v>
      </c>
      <c r="C166" s="9">
        <v>1.08</v>
      </c>
      <c r="D166" s="6" t="s">
        <v>36</v>
      </c>
      <c r="E166" s="6" t="s">
        <v>183</v>
      </c>
      <c r="F166" s="6" t="s">
        <v>40</v>
      </c>
      <c r="G166" s="6" t="s">
        <v>29</v>
      </c>
      <c r="H166" s="11"/>
      <c r="I166" s="6" t="s">
        <v>33</v>
      </c>
    </row>
    <row r="167">
      <c r="A167" s="6" t="s">
        <v>99</v>
      </c>
      <c r="B167" s="9">
        <v>65.0</v>
      </c>
      <c r="C167" s="9">
        <v>1.08</v>
      </c>
      <c r="D167" s="6" t="s">
        <v>183</v>
      </c>
      <c r="E167" s="6" t="s">
        <v>52</v>
      </c>
      <c r="F167" s="6" t="s">
        <v>208</v>
      </c>
      <c r="G167" s="6" t="s">
        <v>49</v>
      </c>
      <c r="H167" s="9">
        <v>29.0</v>
      </c>
      <c r="I167" s="11"/>
    </row>
    <row r="168">
      <c r="A168" s="6" t="s">
        <v>99</v>
      </c>
      <c r="B168" s="9">
        <v>65.0</v>
      </c>
      <c r="C168" s="9">
        <v>1.08</v>
      </c>
      <c r="D168" s="6" t="s">
        <v>52</v>
      </c>
      <c r="E168" s="6" t="s">
        <v>53</v>
      </c>
      <c r="F168" s="6">
        <v>1.0</v>
      </c>
      <c r="G168" s="6" t="s">
        <v>49</v>
      </c>
      <c r="H168" s="9">
        <v>3.0</v>
      </c>
      <c r="I168" s="11"/>
    </row>
    <row r="169">
      <c r="A169" s="6" t="s">
        <v>99</v>
      </c>
      <c r="B169" s="9">
        <v>65.0</v>
      </c>
      <c r="C169" s="9">
        <v>1.08</v>
      </c>
      <c r="D169" s="6" t="s">
        <v>53</v>
      </c>
      <c r="E169" s="6" t="s">
        <v>53</v>
      </c>
      <c r="F169" s="6" t="s">
        <v>57</v>
      </c>
      <c r="G169" s="6" t="s">
        <v>29</v>
      </c>
      <c r="H169" s="11"/>
      <c r="I169" s="6" t="s">
        <v>33</v>
      </c>
    </row>
    <row r="170">
      <c r="A170" s="6" t="s">
        <v>102</v>
      </c>
      <c r="B170" s="9">
        <v>61.0</v>
      </c>
      <c r="C170" s="9">
        <v>1.02</v>
      </c>
      <c r="D170" s="6" t="s">
        <v>25</v>
      </c>
      <c r="E170" s="6" t="s">
        <v>26</v>
      </c>
      <c r="F170" s="6" t="s">
        <v>27</v>
      </c>
      <c r="G170" s="6" t="s">
        <v>29</v>
      </c>
      <c r="H170" s="11"/>
      <c r="I170" s="6" t="s">
        <v>33</v>
      </c>
    </row>
    <row r="171">
      <c r="A171" s="6" t="s">
        <v>102</v>
      </c>
      <c r="B171" s="9">
        <v>61.0</v>
      </c>
      <c r="C171" s="9">
        <v>1.02</v>
      </c>
      <c r="D171" s="6" t="s">
        <v>26</v>
      </c>
      <c r="E171" s="6" t="s">
        <v>36</v>
      </c>
      <c r="F171" s="6" t="s">
        <v>37</v>
      </c>
      <c r="G171" s="6" t="s">
        <v>38</v>
      </c>
      <c r="H171" s="9">
        <v>33.0</v>
      </c>
      <c r="I171" s="11"/>
    </row>
    <row r="172">
      <c r="A172" s="6" t="s">
        <v>102</v>
      </c>
      <c r="B172" s="9">
        <v>61.0</v>
      </c>
      <c r="C172" s="9">
        <v>1.02</v>
      </c>
      <c r="D172" s="6" t="s">
        <v>36</v>
      </c>
      <c r="E172" s="6" t="s">
        <v>183</v>
      </c>
      <c r="F172" s="6" t="s">
        <v>40</v>
      </c>
      <c r="G172" s="6" t="s">
        <v>29</v>
      </c>
      <c r="H172" s="11"/>
      <c r="I172" s="6" t="s">
        <v>33</v>
      </c>
    </row>
    <row r="173">
      <c r="A173" s="6" t="s">
        <v>102</v>
      </c>
      <c r="B173" s="9">
        <v>61.0</v>
      </c>
      <c r="C173" s="9">
        <v>1.02</v>
      </c>
      <c r="D173" s="6" t="s">
        <v>183</v>
      </c>
      <c r="E173" s="6" t="s">
        <v>216</v>
      </c>
      <c r="F173" s="6">
        <v>9.0</v>
      </c>
      <c r="G173" s="6" t="s">
        <v>49</v>
      </c>
      <c r="H173" s="9">
        <v>14.0</v>
      </c>
      <c r="I173" s="11"/>
    </row>
    <row r="174">
      <c r="A174" s="6" t="s">
        <v>102</v>
      </c>
      <c r="B174" s="9">
        <v>61.0</v>
      </c>
      <c r="C174" s="9">
        <v>1.02</v>
      </c>
      <c r="D174" s="6" t="s">
        <v>216</v>
      </c>
      <c r="E174" s="6" t="s">
        <v>217</v>
      </c>
      <c r="F174" s="6" t="s">
        <v>40</v>
      </c>
      <c r="G174" s="6" t="s">
        <v>29</v>
      </c>
      <c r="H174" s="11"/>
      <c r="I174" s="6" t="s">
        <v>33</v>
      </c>
    </row>
    <row r="175">
      <c r="A175" s="6" t="s">
        <v>102</v>
      </c>
      <c r="B175" s="9">
        <v>61.0</v>
      </c>
      <c r="C175" s="9">
        <v>1.02</v>
      </c>
      <c r="D175" s="6" t="s">
        <v>217</v>
      </c>
      <c r="E175" s="6" t="s">
        <v>218</v>
      </c>
      <c r="F175" s="6" t="s">
        <v>219</v>
      </c>
      <c r="G175" s="6" t="s">
        <v>49</v>
      </c>
      <c r="H175" s="9">
        <v>14.0</v>
      </c>
      <c r="I175" s="11"/>
    </row>
    <row r="176">
      <c r="A176" s="6" t="s">
        <v>102</v>
      </c>
      <c r="B176" s="9">
        <v>61.0</v>
      </c>
      <c r="C176" s="9">
        <v>1.02</v>
      </c>
      <c r="D176" s="6" t="s">
        <v>218</v>
      </c>
      <c r="E176" s="6" t="s">
        <v>53</v>
      </c>
      <c r="F176" s="6" t="s">
        <v>57</v>
      </c>
      <c r="G176" s="6" t="s">
        <v>29</v>
      </c>
      <c r="H176" s="11"/>
      <c r="I176" s="6" t="s">
        <v>33</v>
      </c>
    </row>
    <row r="177">
      <c r="A177" s="6" t="s">
        <v>104</v>
      </c>
      <c r="B177" s="9">
        <v>92.0</v>
      </c>
      <c r="C177" s="9">
        <v>1.53</v>
      </c>
      <c r="D177" s="6" t="s">
        <v>25</v>
      </c>
      <c r="E177" s="6" t="s">
        <v>26</v>
      </c>
      <c r="F177" s="6" t="s">
        <v>27</v>
      </c>
      <c r="G177" s="6" t="s">
        <v>29</v>
      </c>
      <c r="H177" s="11"/>
      <c r="I177" s="6" t="s">
        <v>33</v>
      </c>
    </row>
    <row r="178">
      <c r="A178" s="6" t="s">
        <v>104</v>
      </c>
      <c r="B178" s="9">
        <v>92.0</v>
      </c>
      <c r="C178" s="9">
        <v>1.53</v>
      </c>
      <c r="D178" s="6" t="s">
        <v>26</v>
      </c>
      <c r="E178" s="6" t="s">
        <v>151</v>
      </c>
      <c r="F178" s="6" t="s">
        <v>37</v>
      </c>
      <c r="G178" s="6" t="s">
        <v>38</v>
      </c>
      <c r="H178" s="9">
        <v>36.0</v>
      </c>
      <c r="I178" s="11"/>
    </row>
    <row r="179">
      <c r="A179" s="6" t="s">
        <v>104</v>
      </c>
      <c r="B179" s="9">
        <v>92.0</v>
      </c>
      <c r="C179" s="9">
        <v>1.53</v>
      </c>
      <c r="D179" s="6" t="s">
        <v>151</v>
      </c>
      <c r="E179" s="6" t="s">
        <v>152</v>
      </c>
      <c r="F179" s="6" t="s">
        <v>40</v>
      </c>
      <c r="G179" s="6" t="s">
        <v>29</v>
      </c>
      <c r="H179" s="11"/>
      <c r="I179" s="6" t="s">
        <v>33</v>
      </c>
    </row>
    <row r="180">
      <c r="A180" s="6" t="s">
        <v>104</v>
      </c>
      <c r="B180" s="9">
        <v>92.0</v>
      </c>
      <c r="C180" s="9">
        <v>1.53</v>
      </c>
      <c r="D180" s="6" t="s">
        <v>152</v>
      </c>
      <c r="E180" s="6" t="s">
        <v>43</v>
      </c>
      <c r="F180" s="6" t="s">
        <v>220</v>
      </c>
      <c r="G180" s="6" t="s">
        <v>49</v>
      </c>
      <c r="H180" s="9">
        <v>21.0</v>
      </c>
      <c r="I180" s="11"/>
    </row>
    <row r="181">
      <c r="A181" s="6" t="s">
        <v>104</v>
      </c>
      <c r="B181" s="9">
        <v>92.0</v>
      </c>
      <c r="C181" s="9">
        <v>1.53</v>
      </c>
      <c r="D181" s="6" t="s">
        <v>43</v>
      </c>
      <c r="E181" s="6" t="s">
        <v>46</v>
      </c>
      <c r="F181" s="6" t="s">
        <v>47</v>
      </c>
      <c r="G181" s="6" t="s">
        <v>49</v>
      </c>
      <c r="H181" s="9">
        <v>32.0</v>
      </c>
      <c r="I181" s="11"/>
    </row>
    <row r="182">
      <c r="A182" s="6" t="s">
        <v>104</v>
      </c>
      <c r="B182" s="9">
        <v>92.0</v>
      </c>
      <c r="C182" s="9">
        <v>1.53</v>
      </c>
      <c r="D182" s="6" t="s">
        <v>46</v>
      </c>
      <c r="E182" s="6" t="s">
        <v>52</v>
      </c>
      <c r="F182" s="6" t="s">
        <v>40</v>
      </c>
      <c r="G182" s="6" t="s">
        <v>29</v>
      </c>
      <c r="H182" s="11"/>
      <c r="I182" s="6" t="s">
        <v>33</v>
      </c>
    </row>
    <row r="183">
      <c r="A183" s="6" t="s">
        <v>104</v>
      </c>
      <c r="B183" s="9">
        <v>92.0</v>
      </c>
      <c r="C183" s="9">
        <v>1.53</v>
      </c>
      <c r="D183" s="6" t="s">
        <v>52</v>
      </c>
      <c r="E183" s="6" t="s">
        <v>53</v>
      </c>
      <c r="F183" s="6">
        <v>1.0</v>
      </c>
      <c r="G183" s="6" t="s">
        <v>49</v>
      </c>
      <c r="H183" s="9">
        <v>3.0</v>
      </c>
      <c r="I183" s="11"/>
    </row>
    <row r="184">
      <c r="A184" s="6" t="s">
        <v>104</v>
      </c>
      <c r="B184" s="9">
        <v>92.0</v>
      </c>
      <c r="C184" s="9">
        <v>1.53</v>
      </c>
      <c r="D184" s="6" t="s">
        <v>53</v>
      </c>
      <c r="E184" s="6" t="s">
        <v>53</v>
      </c>
      <c r="F184" s="6" t="s">
        <v>57</v>
      </c>
      <c r="G184" s="6" t="s">
        <v>29</v>
      </c>
      <c r="H184" s="11"/>
      <c r="I184" s="6" t="s">
        <v>33</v>
      </c>
    </row>
    <row r="185">
      <c r="A185" s="6" t="s">
        <v>106</v>
      </c>
      <c r="B185" s="9">
        <v>61.0</v>
      </c>
      <c r="C185" s="9">
        <v>1.02</v>
      </c>
      <c r="D185" s="6" t="s">
        <v>25</v>
      </c>
      <c r="E185" s="6" t="s">
        <v>26</v>
      </c>
      <c r="F185" s="6" t="s">
        <v>27</v>
      </c>
      <c r="G185" s="6" t="s">
        <v>29</v>
      </c>
      <c r="H185" s="11"/>
      <c r="I185" s="6" t="s">
        <v>33</v>
      </c>
    </row>
    <row r="186">
      <c r="A186" s="6" t="s">
        <v>106</v>
      </c>
      <c r="B186" s="9">
        <v>61.0</v>
      </c>
      <c r="C186" s="9">
        <v>1.02</v>
      </c>
      <c r="D186" s="6" t="s">
        <v>26</v>
      </c>
      <c r="E186" s="6" t="s">
        <v>36</v>
      </c>
      <c r="F186" s="6" t="s">
        <v>37</v>
      </c>
      <c r="G186" s="6" t="s">
        <v>38</v>
      </c>
      <c r="H186" s="9">
        <v>33.0</v>
      </c>
      <c r="I186" s="11"/>
    </row>
    <row r="187">
      <c r="A187" s="6" t="s">
        <v>106</v>
      </c>
      <c r="B187" s="9">
        <v>61.0</v>
      </c>
      <c r="C187" s="9">
        <v>1.02</v>
      </c>
      <c r="D187" s="6" t="s">
        <v>36</v>
      </c>
      <c r="E187" s="6" t="s">
        <v>60</v>
      </c>
      <c r="F187" s="6" t="s">
        <v>37</v>
      </c>
      <c r="G187" s="6" t="s">
        <v>38</v>
      </c>
      <c r="H187" s="9">
        <v>11.0</v>
      </c>
      <c r="I187" s="11"/>
    </row>
    <row r="188">
      <c r="A188" s="6" t="s">
        <v>106</v>
      </c>
      <c r="B188" s="9">
        <v>61.0</v>
      </c>
      <c r="C188" s="9">
        <v>1.02</v>
      </c>
      <c r="D188" s="6" t="s">
        <v>60</v>
      </c>
      <c r="E188" s="6" t="s">
        <v>63</v>
      </c>
      <c r="F188" s="6" t="s">
        <v>65</v>
      </c>
      <c r="G188" s="6" t="s">
        <v>38</v>
      </c>
      <c r="H188" s="9">
        <v>4.0</v>
      </c>
      <c r="I188" s="11"/>
    </row>
    <row r="189">
      <c r="A189" s="6" t="s">
        <v>106</v>
      </c>
      <c r="B189" s="9">
        <v>61.0</v>
      </c>
      <c r="C189" s="9">
        <v>1.02</v>
      </c>
      <c r="D189" s="6" t="s">
        <v>63</v>
      </c>
      <c r="E189" s="6" t="s">
        <v>66</v>
      </c>
      <c r="F189" s="6" t="s">
        <v>40</v>
      </c>
      <c r="G189" s="6" t="s">
        <v>29</v>
      </c>
      <c r="H189" s="11"/>
      <c r="I189" s="6" t="s">
        <v>33</v>
      </c>
    </row>
    <row r="190">
      <c r="A190" s="6" t="s">
        <v>106</v>
      </c>
      <c r="B190" s="9">
        <v>61.0</v>
      </c>
      <c r="C190" s="9">
        <v>1.02</v>
      </c>
      <c r="D190" s="6" t="s">
        <v>66</v>
      </c>
      <c r="E190" s="6" t="s">
        <v>69</v>
      </c>
      <c r="F190" s="6" t="s">
        <v>71</v>
      </c>
      <c r="G190" s="6" t="s">
        <v>73</v>
      </c>
      <c r="H190" s="9">
        <v>13.0</v>
      </c>
      <c r="I190" s="11"/>
    </row>
    <row r="191">
      <c r="A191" s="6" t="s">
        <v>106</v>
      </c>
      <c r="B191" s="9">
        <v>61.0</v>
      </c>
      <c r="C191" s="9">
        <v>1.02</v>
      </c>
      <c r="D191" s="6" t="s">
        <v>69</v>
      </c>
      <c r="E191" s="6" t="s">
        <v>53</v>
      </c>
      <c r="F191" s="6" t="s">
        <v>57</v>
      </c>
      <c r="G191" s="6" t="s">
        <v>29</v>
      </c>
      <c r="H191" s="11"/>
      <c r="I191" s="6" t="s">
        <v>33</v>
      </c>
    </row>
    <row r="192">
      <c r="A192" s="6" t="s">
        <v>111</v>
      </c>
      <c r="B192" s="9">
        <v>82.0</v>
      </c>
      <c r="C192" s="9">
        <v>1.37</v>
      </c>
      <c r="D192" s="6" t="s">
        <v>25</v>
      </c>
      <c r="E192" s="6" t="s">
        <v>26</v>
      </c>
      <c r="F192" s="6" t="s">
        <v>27</v>
      </c>
      <c r="G192" s="6" t="s">
        <v>29</v>
      </c>
      <c r="H192" s="11"/>
      <c r="I192" s="6" t="s">
        <v>33</v>
      </c>
    </row>
    <row r="193">
      <c r="A193" s="6" t="s">
        <v>111</v>
      </c>
      <c r="B193" s="9">
        <v>82.0</v>
      </c>
      <c r="C193" s="9">
        <v>1.37</v>
      </c>
      <c r="D193" s="6" t="s">
        <v>26</v>
      </c>
      <c r="E193" s="6" t="s">
        <v>36</v>
      </c>
      <c r="F193" s="6" t="s">
        <v>37</v>
      </c>
      <c r="G193" s="6" t="s">
        <v>38</v>
      </c>
      <c r="H193" s="9">
        <v>33.0</v>
      </c>
      <c r="I193" s="11"/>
    </row>
    <row r="194">
      <c r="A194" s="6" t="s">
        <v>111</v>
      </c>
      <c r="B194" s="9">
        <v>82.0</v>
      </c>
      <c r="C194" s="9">
        <v>1.37</v>
      </c>
      <c r="D194" s="6" t="s">
        <v>36</v>
      </c>
      <c r="E194" s="6" t="s">
        <v>60</v>
      </c>
      <c r="F194" s="6" t="s">
        <v>37</v>
      </c>
      <c r="G194" s="6" t="s">
        <v>38</v>
      </c>
      <c r="H194" s="9">
        <v>11.0</v>
      </c>
      <c r="I194" s="11"/>
    </row>
    <row r="195">
      <c r="A195" s="6" t="s">
        <v>111</v>
      </c>
      <c r="B195" s="9">
        <v>82.0</v>
      </c>
      <c r="C195" s="9">
        <v>1.37</v>
      </c>
      <c r="D195" s="6" t="s">
        <v>60</v>
      </c>
      <c r="E195" s="6" t="s">
        <v>63</v>
      </c>
      <c r="F195" s="6" t="s">
        <v>65</v>
      </c>
      <c r="G195" s="6" t="s">
        <v>38</v>
      </c>
      <c r="H195" s="9">
        <v>4.0</v>
      </c>
      <c r="I195" s="11"/>
    </row>
    <row r="196">
      <c r="A196" s="6" t="s">
        <v>111</v>
      </c>
      <c r="B196" s="9">
        <v>82.0</v>
      </c>
      <c r="C196" s="9">
        <v>1.37</v>
      </c>
      <c r="D196" s="6" t="s">
        <v>63</v>
      </c>
      <c r="E196" s="6" t="s">
        <v>79</v>
      </c>
      <c r="F196" s="6" t="s">
        <v>40</v>
      </c>
      <c r="G196" s="6" t="s">
        <v>29</v>
      </c>
      <c r="H196" s="11"/>
      <c r="I196" s="6" t="s">
        <v>33</v>
      </c>
    </row>
    <row r="197">
      <c r="A197" s="6" t="s">
        <v>111</v>
      </c>
      <c r="B197" s="9">
        <v>82.0</v>
      </c>
      <c r="C197" s="9">
        <v>1.37</v>
      </c>
      <c r="D197" s="6" t="s">
        <v>79</v>
      </c>
      <c r="E197" s="6" t="s">
        <v>53</v>
      </c>
      <c r="F197" s="6">
        <v>1.0</v>
      </c>
      <c r="G197" s="6" t="s">
        <v>49</v>
      </c>
      <c r="H197" s="9">
        <v>34.0</v>
      </c>
      <c r="I197" s="11"/>
    </row>
    <row r="198">
      <c r="A198" s="6" t="s">
        <v>111</v>
      </c>
      <c r="B198" s="9">
        <v>82.0</v>
      </c>
      <c r="C198" s="9">
        <v>1.37</v>
      </c>
      <c r="D198" s="6" t="s">
        <v>53</v>
      </c>
      <c r="E198" s="6" t="s">
        <v>53</v>
      </c>
      <c r="F198" s="6" t="s">
        <v>57</v>
      </c>
      <c r="G198" s="6" t="s">
        <v>29</v>
      </c>
      <c r="H198" s="11"/>
      <c r="I198" s="6" t="s">
        <v>33</v>
      </c>
    </row>
    <row r="199">
      <c r="A199" s="6" t="s">
        <v>117</v>
      </c>
      <c r="B199" s="9">
        <v>91.0</v>
      </c>
      <c r="C199" s="9">
        <v>1.52</v>
      </c>
      <c r="D199" s="6" t="s">
        <v>25</v>
      </c>
      <c r="E199" s="6" t="s">
        <v>26</v>
      </c>
      <c r="F199" s="6" t="s">
        <v>27</v>
      </c>
      <c r="G199" s="6" t="s">
        <v>29</v>
      </c>
      <c r="H199" s="11"/>
      <c r="I199" s="6" t="s">
        <v>33</v>
      </c>
    </row>
    <row r="200">
      <c r="A200" s="6" t="s">
        <v>117</v>
      </c>
      <c r="B200" s="9">
        <v>91.0</v>
      </c>
      <c r="C200" s="9">
        <v>1.52</v>
      </c>
      <c r="D200" s="6" t="s">
        <v>26</v>
      </c>
      <c r="E200" s="6" t="s">
        <v>36</v>
      </c>
      <c r="F200" s="6" t="s">
        <v>37</v>
      </c>
      <c r="G200" s="6" t="s">
        <v>38</v>
      </c>
      <c r="H200" s="9">
        <v>33.0</v>
      </c>
      <c r="I200" s="11"/>
    </row>
    <row r="201">
      <c r="A201" s="6" t="s">
        <v>117</v>
      </c>
      <c r="B201" s="9">
        <v>91.0</v>
      </c>
      <c r="C201" s="9">
        <v>1.52</v>
      </c>
      <c r="D201" s="6" t="s">
        <v>36</v>
      </c>
      <c r="E201" s="6" t="s">
        <v>60</v>
      </c>
      <c r="F201" s="6" t="s">
        <v>37</v>
      </c>
      <c r="G201" s="6" t="s">
        <v>38</v>
      </c>
      <c r="H201" s="9">
        <v>11.0</v>
      </c>
      <c r="I201" s="11"/>
    </row>
    <row r="202">
      <c r="A202" s="6" t="s">
        <v>117</v>
      </c>
      <c r="B202" s="9">
        <v>91.0</v>
      </c>
      <c r="C202" s="9">
        <v>1.52</v>
      </c>
      <c r="D202" s="6" t="s">
        <v>60</v>
      </c>
      <c r="E202" s="6" t="s">
        <v>87</v>
      </c>
      <c r="F202" s="6">
        <v>4.0</v>
      </c>
      <c r="G202" s="6" t="s">
        <v>49</v>
      </c>
      <c r="H202" s="9">
        <v>13.0</v>
      </c>
      <c r="I202" s="11"/>
    </row>
    <row r="203">
      <c r="A203" s="6" t="s">
        <v>117</v>
      </c>
      <c r="B203" s="9">
        <v>91.0</v>
      </c>
      <c r="C203" s="9">
        <v>1.52</v>
      </c>
      <c r="D203" s="6" t="s">
        <v>87</v>
      </c>
      <c r="E203" s="6" t="s">
        <v>79</v>
      </c>
      <c r="F203" s="6" t="s">
        <v>40</v>
      </c>
      <c r="G203" s="6" t="s">
        <v>29</v>
      </c>
      <c r="H203" s="11"/>
      <c r="I203" s="6" t="s">
        <v>33</v>
      </c>
    </row>
    <row r="204">
      <c r="A204" s="6" t="s">
        <v>117</v>
      </c>
      <c r="B204" s="9">
        <v>91.0</v>
      </c>
      <c r="C204" s="9">
        <v>1.52</v>
      </c>
      <c r="D204" s="6" t="s">
        <v>79</v>
      </c>
      <c r="E204" s="6" t="s">
        <v>53</v>
      </c>
      <c r="F204" s="6">
        <v>1.0</v>
      </c>
      <c r="G204" s="6" t="s">
        <v>49</v>
      </c>
      <c r="H204" s="9">
        <v>34.0</v>
      </c>
      <c r="I204" s="11"/>
    </row>
    <row r="205">
      <c r="A205" s="6" t="s">
        <v>117</v>
      </c>
      <c r="B205" s="9">
        <v>91.0</v>
      </c>
      <c r="C205" s="9">
        <v>1.52</v>
      </c>
      <c r="D205" s="6" t="s">
        <v>53</v>
      </c>
      <c r="E205" s="6" t="s">
        <v>53</v>
      </c>
      <c r="F205" s="6" t="s">
        <v>57</v>
      </c>
      <c r="G205" s="6" t="s">
        <v>29</v>
      </c>
      <c r="H205" s="11"/>
      <c r="I205" s="6" t="s">
        <v>33</v>
      </c>
    </row>
    <row r="206">
      <c r="A206" s="6" t="s">
        <v>119</v>
      </c>
      <c r="B206" s="9">
        <v>62.0</v>
      </c>
      <c r="C206" s="9">
        <v>1.03</v>
      </c>
      <c r="D206" s="6" t="s">
        <v>25</v>
      </c>
      <c r="E206" s="6" t="s">
        <v>26</v>
      </c>
      <c r="F206" s="6" t="s">
        <v>27</v>
      </c>
      <c r="G206" s="6" t="s">
        <v>29</v>
      </c>
      <c r="H206" s="11"/>
      <c r="I206" s="6" t="s">
        <v>33</v>
      </c>
    </row>
    <row r="207">
      <c r="A207" s="6" t="s">
        <v>119</v>
      </c>
      <c r="B207" s="9">
        <v>62.0</v>
      </c>
      <c r="C207" s="9">
        <v>1.03</v>
      </c>
      <c r="D207" s="6" t="s">
        <v>26</v>
      </c>
      <c r="E207" s="6" t="s">
        <v>36</v>
      </c>
      <c r="F207" s="6" t="s">
        <v>37</v>
      </c>
      <c r="G207" s="6" t="s">
        <v>38</v>
      </c>
      <c r="H207" s="9">
        <v>33.0</v>
      </c>
      <c r="I207" s="11"/>
    </row>
    <row r="208">
      <c r="A208" s="6" t="s">
        <v>119</v>
      </c>
      <c r="B208" s="9">
        <v>62.0</v>
      </c>
      <c r="C208" s="9">
        <v>1.03</v>
      </c>
      <c r="D208" s="6" t="s">
        <v>36</v>
      </c>
      <c r="E208" s="6" t="s">
        <v>39</v>
      </c>
      <c r="F208" s="6" t="s">
        <v>40</v>
      </c>
      <c r="G208" s="6" t="s">
        <v>29</v>
      </c>
      <c r="H208" s="11"/>
      <c r="I208" s="6" t="s">
        <v>33</v>
      </c>
    </row>
    <row r="209">
      <c r="A209" s="6" t="s">
        <v>119</v>
      </c>
      <c r="B209" s="9">
        <v>62.0</v>
      </c>
      <c r="C209" s="9">
        <v>1.03</v>
      </c>
      <c r="D209" s="6" t="s">
        <v>39</v>
      </c>
      <c r="E209" s="6" t="s">
        <v>221</v>
      </c>
      <c r="F209" s="6" t="s">
        <v>44</v>
      </c>
      <c r="G209" s="6" t="s">
        <v>45</v>
      </c>
      <c r="H209" s="9">
        <v>5.0</v>
      </c>
      <c r="I209" s="11"/>
    </row>
    <row r="210">
      <c r="A210" s="6" t="s">
        <v>119</v>
      </c>
      <c r="B210" s="9">
        <v>62.0</v>
      </c>
      <c r="C210" s="9">
        <v>1.03</v>
      </c>
      <c r="D210" s="6" t="s">
        <v>221</v>
      </c>
      <c r="E210" s="6" t="s">
        <v>186</v>
      </c>
      <c r="F210" s="6" t="s">
        <v>40</v>
      </c>
      <c r="G210" s="6" t="s">
        <v>29</v>
      </c>
      <c r="H210" s="11"/>
      <c r="I210" s="6" t="s">
        <v>33</v>
      </c>
    </row>
    <row r="211">
      <c r="A211" s="6" t="s">
        <v>119</v>
      </c>
      <c r="B211" s="9">
        <v>62.0</v>
      </c>
      <c r="C211" s="9">
        <v>1.03</v>
      </c>
      <c r="D211" s="6" t="s">
        <v>186</v>
      </c>
      <c r="E211" s="6" t="s">
        <v>189</v>
      </c>
      <c r="F211" s="6" t="s">
        <v>190</v>
      </c>
      <c r="G211" s="6" t="s">
        <v>49</v>
      </c>
      <c r="H211" s="9">
        <v>21.0</v>
      </c>
      <c r="I211" s="11"/>
    </row>
    <row r="212">
      <c r="A212" s="6" t="s">
        <v>119</v>
      </c>
      <c r="B212" s="9">
        <v>62.0</v>
      </c>
      <c r="C212" s="9">
        <v>1.03</v>
      </c>
      <c r="D212" s="6" t="s">
        <v>189</v>
      </c>
      <c r="E212" s="6" t="s">
        <v>52</v>
      </c>
      <c r="F212" s="6" t="s">
        <v>40</v>
      </c>
      <c r="G212" s="6" t="s">
        <v>29</v>
      </c>
      <c r="H212" s="11"/>
      <c r="I212" s="6" t="s">
        <v>33</v>
      </c>
    </row>
    <row r="213">
      <c r="A213" s="6" t="s">
        <v>119</v>
      </c>
      <c r="B213" s="9">
        <v>62.0</v>
      </c>
      <c r="C213" s="9">
        <v>1.03</v>
      </c>
      <c r="D213" s="6" t="s">
        <v>52</v>
      </c>
      <c r="E213" s="6" t="s">
        <v>53</v>
      </c>
      <c r="F213" s="6">
        <v>1.0</v>
      </c>
      <c r="G213" s="6" t="s">
        <v>49</v>
      </c>
      <c r="H213" s="9">
        <v>3.0</v>
      </c>
      <c r="I213" s="11"/>
    </row>
    <row r="214">
      <c r="A214" s="6" t="s">
        <v>119</v>
      </c>
      <c r="B214" s="9">
        <v>62.0</v>
      </c>
      <c r="C214" s="9">
        <v>1.03</v>
      </c>
      <c r="D214" s="6" t="s">
        <v>53</v>
      </c>
      <c r="E214" s="6" t="s">
        <v>53</v>
      </c>
      <c r="F214" s="6" t="s">
        <v>57</v>
      </c>
      <c r="G214" s="6" t="s">
        <v>29</v>
      </c>
      <c r="H214" s="11"/>
      <c r="I214" s="6" t="s">
        <v>33</v>
      </c>
    </row>
    <row r="215">
      <c r="A215" s="6" t="s">
        <v>121</v>
      </c>
      <c r="B215" s="9">
        <v>66.0</v>
      </c>
      <c r="C215" s="9">
        <v>1.1</v>
      </c>
      <c r="D215" s="6" t="s">
        <v>25</v>
      </c>
      <c r="E215" s="6" t="s">
        <v>26</v>
      </c>
      <c r="F215" s="6" t="s">
        <v>27</v>
      </c>
      <c r="G215" s="6" t="s">
        <v>29</v>
      </c>
      <c r="H215" s="11"/>
      <c r="I215" s="6" t="s">
        <v>33</v>
      </c>
    </row>
    <row r="216">
      <c r="A216" s="6" t="s">
        <v>121</v>
      </c>
      <c r="B216" s="9">
        <v>66.0</v>
      </c>
      <c r="C216" s="9">
        <v>1.1</v>
      </c>
      <c r="D216" s="6" t="s">
        <v>26</v>
      </c>
      <c r="E216" s="6" t="s">
        <v>36</v>
      </c>
      <c r="F216" s="6" t="s">
        <v>37</v>
      </c>
      <c r="G216" s="6" t="s">
        <v>38</v>
      </c>
      <c r="H216" s="9">
        <v>33.0</v>
      </c>
      <c r="I216" s="11"/>
    </row>
    <row r="217">
      <c r="A217" s="6" t="s">
        <v>121</v>
      </c>
      <c r="B217" s="9">
        <v>66.0</v>
      </c>
      <c r="C217" s="9">
        <v>1.1</v>
      </c>
      <c r="D217" s="6" t="s">
        <v>36</v>
      </c>
      <c r="E217" s="6" t="s">
        <v>39</v>
      </c>
      <c r="F217" s="6" t="s">
        <v>40</v>
      </c>
      <c r="G217" s="6" t="s">
        <v>29</v>
      </c>
      <c r="H217" s="11"/>
      <c r="I217" s="6" t="s">
        <v>33</v>
      </c>
    </row>
    <row r="218">
      <c r="A218" s="6" t="s">
        <v>121</v>
      </c>
      <c r="B218" s="9">
        <v>66.0</v>
      </c>
      <c r="C218" s="9">
        <v>1.1</v>
      </c>
      <c r="D218" s="6" t="s">
        <v>39</v>
      </c>
      <c r="E218" s="6" t="s">
        <v>221</v>
      </c>
      <c r="F218" s="6" t="s">
        <v>44</v>
      </c>
      <c r="G218" s="6" t="s">
        <v>45</v>
      </c>
      <c r="H218" s="9">
        <v>5.0</v>
      </c>
      <c r="I218" s="11"/>
    </row>
    <row r="219">
      <c r="A219" s="6" t="s">
        <v>121</v>
      </c>
      <c r="B219" s="9">
        <v>66.0</v>
      </c>
      <c r="C219" s="9">
        <v>1.1</v>
      </c>
      <c r="D219" s="6" t="s">
        <v>221</v>
      </c>
      <c r="E219" s="6" t="s">
        <v>186</v>
      </c>
      <c r="F219" s="6" t="s">
        <v>40</v>
      </c>
      <c r="G219" s="6" t="s">
        <v>29</v>
      </c>
      <c r="H219" s="11"/>
      <c r="I219" s="6" t="s">
        <v>33</v>
      </c>
    </row>
    <row r="220">
      <c r="A220" s="6" t="s">
        <v>121</v>
      </c>
      <c r="B220" s="9">
        <v>66.0</v>
      </c>
      <c r="C220" s="9">
        <v>1.1</v>
      </c>
      <c r="D220" s="6" t="s">
        <v>186</v>
      </c>
      <c r="E220" s="6" t="s">
        <v>203</v>
      </c>
      <c r="F220" s="6" t="s">
        <v>204</v>
      </c>
      <c r="G220" s="6" t="s">
        <v>49</v>
      </c>
      <c r="H220" s="9">
        <v>7.0</v>
      </c>
      <c r="I220" s="11"/>
    </row>
    <row r="221">
      <c r="A221" s="6" t="s">
        <v>121</v>
      </c>
      <c r="B221" s="9">
        <v>66.0</v>
      </c>
      <c r="C221" s="9">
        <v>1.1</v>
      </c>
      <c r="D221" s="6" t="s">
        <v>203</v>
      </c>
      <c r="E221" s="6" t="s">
        <v>202</v>
      </c>
      <c r="F221" s="6" t="s">
        <v>40</v>
      </c>
      <c r="G221" s="6" t="s">
        <v>29</v>
      </c>
      <c r="H221" s="11"/>
      <c r="I221" s="6" t="s">
        <v>33</v>
      </c>
    </row>
    <row r="222">
      <c r="A222" s="6" t="s">
        <v>121</v>
      </c>
      <c r="B222" s="9">
        <v>66.0</v>
      </c>
      <c r="C222" s="9">
        <v>1.1</v>
      </c>
      <c r="D222" s="6" t="s">
        <v>202</v>
      </c>
      <c r="E222" s="6" t="s">
        <v>52</v>
      </c>
      <c r="F222" s="6" t="s">
        <v>209</v>
      </c>
      <c r="G222" s="6" t="s">
        <v>49</v>
      </c>
      <c r="H222" s="9">
        <v>18.0</v>
      </c>
      <c r="I222" s="11"/>
    </row>
    <row r="223">
      <c r="A223" s="6" t="s">
        <v>121</v>
      </c>
      <c r="B223" s="9">
        <v>66.0</v>
      </c>
      <c r="C223" s="9">
        <v>1.1</v>
      </c>
      <c r="D223" s="6" t="s">
        <v>52</v>
      </c>
      <c r="E223" s="6" t="s">
        <v>53</v>
      </c>
      <c r="F223" s="6">
        <v>1.0</v>
      </c>
      <c r="G223" s="6" t="s">
        <v>49</v>
      </c>
      <c r="H223" s="9">
        <v>3.0</v>
      </c>
      <c r="I223" s="11"/>
    </row>
    <row r="224">
      <c r="A224" s="6" t="s">
        <v>121</v>
      </c>
      <c r="B224" s="9">
        <v>66.0</v>
      </c>
      <c r="C224" s="9">
        <v>1.1</v>
      </c>
      <c r="D224" s="6" t="s">
        <v>53</v>
      </c>
      <c r="E224" s="6" t="s">
        <v>53</v>
      </c>
      <c r="F224" s="6" t="s">
        <v>57</v>
      </c>
      <c r="G224" s="6" t="s">
        <v>29</v>
      </c>
      <c r="H224" s="11"/>
      <c r="I224" s="6" t="s">
        <v>33</v>
      </c>
    </row>
    <row r="225">
      <c r="A225" s="6" t="s">
        <v>124</v>
      </c>
      <c r="B225" s="9">
        <v>63.0</v>
      </c>
      <c r="C225" s="9">
        <v>1.05</v>
      </c>
      <c r="D225" s="6" t="s">
        <v>25</v>
      </c>
      <c r="E225" s="6" t="s">
        <v>26</v>
      </c>
      <c r="F225" s="6" t="s">
        <v>27</v>
      </c>
      <c r="G225" s="6" t="s">
        <v>29</v>
      </c>
      <c r="H225" s="11"/>
      <c r="I225" s="6" t="s">
        <v>33</v>
      </c>
    </row>
    <row r="226">
      <c r="A226" s="6" t="s">
        <v>124</v>
      </c>
      <c r="B226" s="9">
        <v>63.0</v>
      </c>
      <c r="C226" s="9">
        <v>1.05</v>
      </c>
      <c r="D226" s="6" t="s">
        <v>26</v>
      </c>
      <c r="E226" s="6" t="s">
        <v>36</v>
      </c>
      <c r="F226" s="6" t="s">
        <v>37</v>
      </c>
      <c r="G226" s="6" t="s">
        <v>38</v>
      </c>
      <c r="H226" s="9">
        <v>33.0</v>
      </c>
      <c r="I226" s="11"/>
    </row>
    <row r="227">
      <c r="A227" s="6" t="s">
        <v>124</v>
      </c>
      <c r="B227" s="9">
        <v>63.0</v>
      </c>
      <c r="C227" s="9">
        <v>1.05</v>
      </c>
      <c r="D227" s="6" t="s">
        <v>36</v>
      </c>
      <c r="E227" s="6" t="s">
        <v>39</v>
      </c>
      <c r="F227" s="6" t="s">
        <v>40</v>
      </c>
      <c r="G227" s="6" t="s">
        <v>29</v>
      </c>
      <c r="H227" s="11"/>
      <c r="I227" s="6" t="s">
        <v>33</v>
      </c>
    </row>
    <row r="228">
      <c r="A228" s="6" t="s">
        <v>124</v>
      </c>
      <c r="B228" s="9">
        <v>63.0</v>
      </c>
      <c r="C228" s="9">
        <v>1.05</v>
      </c>
      <c r="D228" s="6" t="s">
        <v>39</v>
      </c>
      <c r="E228" s="6" t="s">
        <v>221</v>
      </c>
      <c r="F228" s="6" t="s">
        <v>44</v>
      </c>
      <c r="G228" s="6" t="s">
        <v>45</v>
      </c>
      <c r="H228" s="9">
        <v>5.0</v>
      </c>
      <c r="I228" s="11"/>
    </row>
    <row r="229">
      <c r="A229" s="6" t="s">
        <v>124</v>
      </c>
      <c r="B229" s="9">
        <v>63.0</v>
      </c>
      <c r="C229" s="9">
        <v>1.05</v>
      </c>
      <c r="D229" s="6" t="s">
        <v>221</v>
      </c>
      <c r="E229" s="6" t="s">
        <v>186</v>
      </c>
      <c r="F229" s="6" t="s">
        <v>40</v>
      </c>
      <c r="G229" s="6" t="s">
        <v>29</v>
      </c>
      <c r="H229" s="11"/>
      <c r="I229" s="6" t="s">
        <v>33</v>
      </c>
    </row>
    <row r="230">
      <c r="A230" s="6" t="s">
        <v>124</v>
      </c>
      <c r="B230" s="9">
        <v>63.0</v>
      </c>
      <c r="C230" s="9">
        <v>1.05</v>
      </c>
      <c r="D230" s="6" t="s">
        <v>186</v>
      </c>
      <c r="E230" s="6" t="s">
        <v>203</v>
      </c>
      <c r="F230" s="6" t="s">
        <v>204</v>
      </c>
      <c r="G230" s="6" t="s">
        <v>49</v>
      </c>
      <c r="H230" s="9">
        <v>7.0</v>
      </c>
      <c r="I230" s="11"/>
    </row>
    <row r="231">
      <c r="A231" s="6" t="s">
        <v>124</v>
      </c>
      <c r="B231" s="9">
        <v>63.0</v>
      </c>
      <c r="C231" s="9">
        <v>1.05</v>
      </c>
      <c r="D231" s="6" t="s">
        <v>203</v>
      </c>
      <c r="E231" s="6" t="s">
        <v>202</v>
      </c>
      <c r="F231" s="6" t="s">
        <v>40</v>
      </c>
      <c r="G231" s="6" t="s">
        <v>29</v>
      </c>
      <c r="H231" s="11"/>
      <c r="I231" s="6" t="s">
        <v>33</v>
      </c>
    </row>
    <row r="232">
      <c r="A232" s="6" t="s">
        <v>124</v>
      </c>
      <c r="B232" s="9">
        <v>63.0</v>
      </c>
      <c r="C232" s="9">
        <v>1.05</v>
      </c>
      <c r="D232" s="6" t="s">
        <v>202</v>
      </c>
      <c r="E232" s="6" t="s">
        <v>115</v>
      </c>
      <c r="F232" s="6" t="s">
        <v>207</v>
      </c>
      <c r="G232" s="6" t="s">
        <v>49</v>
      </c>
      <c r="H232" s="9">
        <v>18.0</v>
      </c>
      <c r="I232" s="11"/>
    </row>
    <row r="233">
      <c r="A233" s="6" t="s">
        <v>124</v>
      </c>
      <c r="B233" s="9">
        <v>63.0</v>
      </c>
      <c r="C233" s="9">
        <v>1.05</v>
      </c>
      <c r="D233" s="6" t="s">
        <v>115</v>
      </c>
      <c r="E233" s="6" t="s">
        <v>53</v>
      </c>
      <c r="F233" s="6" t="s">
        <v>57</v>
      </c>
      <c r="G233" s="6" t="s">
        <v>29</v>
      </c>
      <c r="H233" s="11"/>
      <c r="I233" s="6" t="s">
        <v>33</v>
      </c>
    </row>
    <row r="234">
      <c r="A234" s="6" t="s">
        <v>126</v>
      </c>
      <c r="B234" s="9">
        <v>73.0</v>
      </c>
      <c r="C234" s="9">
        <v>1.22</v>
      </c>
      <c r="D234" s="6" t="s">
        <v>25</v>
      </c>
      <c r="E234" s="6" t="s">
        <v>26</v>
      </c>
      <c r="F234" s="6" t="s">
        <v>27</v>
      </c>
      <c r="G234" s="6" t="s">
        <v>29</v>
      </c>
      <c r="H234" s="11"/>
      <c r="I234" s="6" t="s">
        <v>33</v>
      </c>
    </row>
    <row r="235">
      <c r="A235" s="6" t="s">
        <v>126</v>
      </c>
      <c r="B235" s="9">
        <v>73.0</v>
      </c>
      <c r="C235" s="9">
        <v>1.22</v>
      </c>
      <c r="D235" s="6" t="s">
        <v>26</v>
      </c>
      <c r="E235" s="6" t="s">
        <v>36</v>
      </c>
      <c r="F235" s="6" t="s">
        <v>37</v>
      </c>
      <c r="G235" s="6" t="s">
        <v>38</v>
      </c>
      <c r="H235" s="9">
        <v>33.0</v>
      </c>
      <c r="I235" s="11"/>
    </row>
    <row r="236">
      <c r="A236" s="6" t="s">
        <v>126</v>
      </c>
      <c r="B236" s="9">
        <v>73.0</v>
      </c>
      <c r="C236" s="9">
        <v>1.22</v>
      </c>
      <c r="D236" s="6" t="s">
        <v>36</v>
      </c>
      <c r="E236" s="6" t="s">
        <v>39</v>
      </c>
      <c r="F236" s="6" t="s">
        <v>40</v>
      </c>
      <c r="G236" s="6" t="s">
        <v>29</v>
      </c>
      <c r="H236" s="11"/>
      <c r="I236" s="6" t="s">
        <v>33</v>
      </c>
    </row>
    <row r="237">
      <c r="A237" s="6" t="s">
        <v>126</v>
      </c>
      <c r="B237" s="9">
        <v>73.0</v>
      </c>
      <c r="C237" s="9">
        <v>1.22</v>
      </c>
      <c r="D237" s="6" t="s">
        <v>39</v>
      </c>
      <c r="E237" s="6" t="s">
        <v>221</v>
      </c>
      <c r="F237" s="6" t="s">
        <v>44</v>
      </c>
      <c r="G237" s="6" t="s">
        <v>45</v>
      </c>
      <c r="H237" s="9">
        <v>5.0</v>
      </c>
      <c r="I237" s="11"/>
    </row>
    <row r="238">
      <c r="A238" s="6" t="s">
        <v>126</v>
      </c>
      <c r="B238" s="9">
        <v>73.0</v>
      </c>
      <c r="C238" s="9">
        <v>1.22</v>
      </c>
      <c r="D238" s="6" t="s">
        <v>221</v>
      </c>
      <c r="E238" s="6" t="s">
        <v>186</v>
      </c>
      <c r="F238" s="6" t="s">
        <v>40</v>
      </c>
      <c r="G238" s="6" t="s">
        <v>29</v>
      </c>
      <c r="H238" s="11"/>
      <c r="I238" s="6" t="s">
        <v>33</v>
      </c>
    </row>
    <row r="239">
      <c r="A239" s="6" t="s">
        <v>126</v>
      </c>
      <c r="B239" s="9">
        <v>73.0</v>
      </c>
      <c r="C239" s="9">
        <v>1.22</v>
      </c>
      <c r="D239" s="6" t="s">
        <v>186</v>
      </c>
      <c r="E239" s="6" t="s">
        <v>52</v>
      </c>
      <c r="F239" s="6" t="s">
        <v>208</v>
      </c>
      <c r="G239" s="6" t="s">
        <v>49</v>
      </c>
      <c r="H239" s="9">
        <v>32.0</v>
      </c>
      <c r="I239" s="11"/>
    </row>
    <row r="240">
      <c r="A240" s="6" t="s">
        <v>126</v>
      </c>
      <c r="B240" s="9">
        <v>73.0</v>
      </c>
      <c r="C240" s="9">
        <v>1.22</v>
      </c>
      <c r="D240" s="6" t="s">
        <v>52</v>
      </c>
      <c r="E240" s="6" t="s">
        <v>53</v>
      </c>
      <c r="F240" s="6">
        <v>1.0</v>
      </c>
      <c r="G240" s="6" t="s">
        <v>49</v>
      </c>
      <c r="H240" s="9">
        <v>3.0</v>
      </c>
      <c r="I240" s="11"/>
    </row>
    <row r="241">
      <c r="A241" s="6" t="s">
        <v>126</v>
      </c>
      <c r="B241" s="9">
        <v>73.0</v>
      </c>
      <c r="C241" s="9">
        <v>1.22</v>
      </c>
      <c r="D241" s="6" t="s">
        <v>53</v>
      </c>
      <c r="E241" s="6" t="s">
        <v>53</v>
      </c>
      <c r="F241" s="6" t="s">
        <v>57</v>
      </c>
      <c r="G241" s="6" t="s">
        <v>29</v>
      </c>
      <c r="H241" s="11"/>
      <c r="I241" s="6" t="s">
        <v>33</v>
      </c>
    </row>
    <row r="242">
      <c r="A242" s="6" t="s">
        <v>130</v>
      </c>
      <c r="B242" s="9">
        <v>72.0</v>
      </c>
      <c r="C242" s="9">
        <v>1.2</v>
      </c>
      <c r="D242" s="6" t="s">
        <v>25</v>
      </c>
      <c r="E242" s="6" t="s">
        <v>26</v>
      </c>
      <c r="F242" s="6" t="s">
        <v>27</v>
      </c>
      <c r="G242" s="6" t="s">
        <v>29</v>
      </c>
      <c r="H242" s="11"/>
      <c r="I242" s="6" t="s">
        <v>33</v>
      </c>
    </row>
    <row r="243">
      <c r="A243" s="6" t="s">
        <v>130</v>
      </c>
      <c r="B243" s="9">
        <v>72.0</v>
      </c>
      <c r="C243" s="9">
        <v>1.2</v>
      </c>
      <c r="D243" s="6" t="s">
        <v>26</v>
      </c>
      <c r="E243" s="6" t="s">
        <v>36</v>
      </c>
      <c r="F243" s="6" t="s">
        <v>37</v>
      </c>
      <c r="G243" s="6" t="s">
        <v>38</v>
      </c>
      <c r="H243" s="9">
        <v>33.0</v>
      </c>
      <c r="I243" s="11"/>
    </row>
    <row r="244">
      <c r="A244" s="6" t="s">
        <v>130</v>
      </c>
      <c r="B244" s="9">
        <v>72.0</v>
      </c>
      <c r="C244" s="9">
        <v>1.2</v>
      </c>
      <c r="D244" s="6" t="s">
        <v>36</v>
      </c>
      <c r="E244" s="6" t="s">
        <v>39</v>
      </c>
      <c r="F244" s="6" t="s">
        <v>40</v>
      </c>
      <c r="G244" s="6" t="s">
        <v>29</v>
      </c>
      <c r="H244" s="11"/>
      <c r="I244" s="6" t="s">
        <v>33</v>
      </c>
    </row>
    <row r="245">
      <c r="A245" s="6" t="s">
        <v>130</v>
      </c>
      <c r="B245" s="9">
        <v>72.0</v>
      </c>
      <c r="C245" s="9">
        <v>1.2</v>
      </c>
      <c r="D245" s="6" t="s">
        <v>39</v>
      </c>
      <c r="E245" s="6" t="s">
        <v>221</v>
      </c>
      <c r="F245" s="6" t="s">
        <v>44</v>
      </c>
      <c r="G245" s="6" t="s">
        <v>45</v>
      </c>
      <c r="H245" s="9">
        <v>5.0</v>
      </c>
      <c r="I245" s="11"/>
    </row>
    <row r="246">
      <c r="A246" s="6" t="s">
        <v>130</v>
      </c>
      <c r="B246" s="9">
        <v>72.0</v>
      </c>
      <c r="C246" s="9">
        <v>1.2</v>
      </c>
      <c r="D246" s="6" t="s">
        <v>221</v>
      </c>
      <c r="E246" s="6" t="s">
        <v>186</v>
      </c>
      <c r="F246" s="6" t="s">
        <v>40</v>
      </c>
      <c r="G246" s="6" t="s">
        <v>29</v>
      </c>
      <c r="H246" s="11"/>
      <c r="I246" s="6" t="s">
        <v>33</v>
      </c>
    </row>
    <row r="247">
      <c r="A247" s="6" t="s">
        <v>130</v>
      </c>
      <c r="B247" s="9">
        <v>72.0</v>
      </c>
      <c r="C247" s="9">
        <v>1.2</v>
      </c>
      <c r="D247" s="6" t="s">
        <v>186</v>
      </c>
      <c r="E247" s="6" t="s">
        <v>199</v>
      </c>
      <c r="F247" s="6">
        <v>9.0</v>
      </c>
      <c r="G247" s="6" t="s">
        <v>49</v>
      </c>
      <c r="H247" s="9">
        <v>13.0</v>
      </c>
      <c r="I247" s="11"/>
    </row>
    <row r="248">
      <c r="A248" s="6" t="s">
        <v>130</v>
      </c>
      <c r="B248" s="9">
        <v>72.0</v>
      </c>
      <c r="C248" s="9">
        <v>1.2</v>
      </c>
      <c r="D248" s="6" t="s">
        <v>199</v>
      </c>
      <c r="E248" s="6" t="s">
        <v>202</v>
      </c>
      <c r="F248" s="6" t="s">
        <v>40</v>
      </c>
      <c r="G248" s="6" t="s">
        <v>29</v>
      </c>
      <c r="H248" s="11"/>
      <c r="I248" s="6" t="s">
        <v>33</v>
      </c>
    </row>
    <row r="249">
      <c r="A249" s="6" t="s">
        <v>130</v>
      </c>
      <c r="B249" s="9">
        <v>72.0</v>
      </c>
      <c r="C249" s="9">
        <v>1.2</v>
      </c>
      <c r="D249" s="6" t="s">
        <v>202</v>
      </c>
      <c r="E249" s="6" t="s">
        <v>52</v>
      </c>
      <c r="F249" s="6" t="s">
        <v>209</v>
      </c>
      <c r="G249" s="6" t="s">
        <v>49</v>
      </c>
      <c r="H249" s="9">
        <v>18.0</v>
      </c>
      <c r="I249" s="11"/>
    </row>
    <row r="250">
      <c r="A250" s="6" t="s">
        <v>130</v>
      </c>
      <c r="B250" s="9">
        <v>72.0</v>
      </c>
      <c r="C250" s="9">
        <v>1.2</v>
      </c>
      <c r="D250" s="6" t="s">
        <v>52</v>
      </c>
      <c r="E250" s="6" t="s">
        <v>53</v>
      </c>
      <c r="F250" s="6">
        <v>1.0</v>
      </c>
      <c r="G250" s="6" t="s">
        <v>49</v>
      </c>
      <c r="H250" s="9">
        <v>3.0</v>
      </c>
      <c r="I250" s="11"/>
    </row>
    <row r="251">
      <c r="A251" s="6" t="s">
        <v>130</v>
      </c>
      <c r="B251" s="9">
        <v>72.0</v>
      </c>
      <c r="C251" s="9">
        <v>1.2</v>
      </c>
      <c r="D251" s="6" t="s">
        <v>53</v>
      </c>
      <c r="E251" s="6" t="s">
        <v>53</v>
      </c>
      <c r="F251" s="6" t="s">
        <v>57</v>
      </c>
      <c r="G251" s="6" t="s">
        <v>29</v>
      </c>
      <c r="H251" s="11"/>
      <c r="I251" s="6" t="s">
        <v>33</v>
      </c>
    </row>
    <row r="252">
      <c r="A252" s="6" t="s">
        <v>132</v>
      </c>
      <c r="B252" s="9">
        <v>69.0</v>
      </c>
      <c r="C252" s="9">
        <v>1.15</v>
      </c>
      <c r="D252" s="6" t="s">
        <v>25</v>
      </c>
      <c r="E252" s="6" t="s">
        <v>26</v>
      </c>
      <c r="F252" s="6" t="s">
        <v>27</v>
      </c>
      <c r="G252" s="6" t="s">
        <v>29</v>
      </c>
      <c r="H252" s="11"/>
      <c r="I252" s="6" t="s">
        <v>33</v>
      </c>
    </row>
    <row r="253">
      <c r="A253" s="6" t="s">
        <v>132</v>
      </c>
      <c r="B253" s="9">
        <v>69.0</v>
      </c>
      <c r="C253" s="9">
        <v>1.15</v>
      </c>
      <c r="D253" s="6" t="s">
        <v>26</v>
      </c>
      <c r="E253" s="6" t="s">
        <v>36</v>
      </c>
      <c r="F253" s="6" t="s">
        <v>37</v>
      </c>
      <c r="G253" s="6" t="s">
        <v>38</v>
      </c>
      <c r="H253" s="9">
        <v>33.0</v>
      </c>
      <c r="I253" s="11"/>
    </row>
    <row r="254">
      <c r="A254" s="6" t="s">
        <v>132</v>
      </c>
      <c r="B254" s="9">
        <v>69.0</v>
      </c>
      <c r="C254" s="9">
        <v>1.15</v>
      </c>
      <c r="D254" s="6" t="s">
        <v>36</v>
      </c>
      <c r="E254" s="6" t="s">
        <v>39</v>
      </c>
      <c r="F254" s="6" t="s">
        <v>40</v>
      </c>
      <c r="G254" s="6" t="s">
        <v>29</v>
      </c>
      <c r="H254" s="11"/>
      <c r="I254" s="6" t="s">
        <v>33</v>
      </c>
    </row>
    <row r="255">
      <c r="A255" s="6" t="s">
        <v>132</v>
      </c>
      <c r="B255" s="9">
        <v>69.0</v>
      </c>
      <c r="C255" s="9">
        <v>1.15</v>
      </c>
      <c r="D255" s="6" t="s">
        <v>39</v>
      </c>
      <c r="E255" s="6" t="s">
        <v>221</v>
      </c>
      <c r="F255" s="6" t="s">
        <v>44</v>
      </c>
      <c r="G255" s="6" t="s">
        <v>45</v>
      </c>
      <c r="H255" s="9">
        <v>5.0</v>
      </c>
      <c r="I255" s="11"/>
    </row>
    <row r="256">
      <c r="A256" s="6" t="s">
        <v>132</v>
      </c>
      <c r="B256" s="9">
        <v>69.0</v>
      </c>
      <c r="C256" s="9">
        <v>1.15</v>
      </c>
      <c r="D256" s="6" t="s">
        <v>221</v>
      </c>
      <c r="E256" s="6" t="s">
        <v>186</v>
      </c>
      <c r="F256" s="6" t="s">
        <v>40</v>
      </c>
      <c r="G256" s="6" t="s">
        <v>29</v>
      </c>
      <c r="H256" s="11"/>
      <c r="I256" s="6" t="s">
        <v>33</v>
      </c>
    </row>
    <row r="257">
      <c r="A257" s="6" t="s">
        <v>132</v>
      </c>
      <c r="B257" s="9">
        <v>69.0</v>
      </c>
      <c r="C257" s="9">
        <v>1.15</v>
      </c>
      <c r="D257" s="6" t="s">
        <v>186</v>
      </c>
      <c r="E257" s="6" t="s">
        <v>199</v>
      </c>
      <c r="F257" s="6">
        <v>9.0</v>
      </c>
      <c r="G257" s="6" t="s">
        <v>49</v>
      </c>
      <c r="H257" s="9">
        <v>13.0</v>
      </c>
      <c r="I257" s="11"/>
    </row>
    <row r="258">
      <c r="A258" s="6" t="s">
        <v>132</v>
      </c>
      <c r="B258" s="9">
        <v>69.0</v>
      </c>
      <c r="C258" s="9">
        <v>1.15</v>
      </c>
      <c r="D258" s="6" t="s">
        <v>199</v>
      </c>
      <c r="E258" s="6" t="s">
        <v>202</v>
      </c>
      <c r="F258" s="6" t="s">
        <v>40</v>
      </c>
      <c r="G258" s="6" t="s">
        <v>29</v>
      </c>
      <c r="H258" s="11"/>
      <c r="I258" s="6" t="s">
        <v>33</v>
      </c>
    </row>
    <row r="259">
      <c r="A259" s="6" t="s">
        <v>132</v>
      </c>
      <c r="B259" s="9">
        <v>69.0</v>
      </c>
      <c r="C259" s="9">
        <v>1.15</v>
      </c>
      <c r="D259" s="6" t="s">
        <v>202</v>
      </c>
      <c r="E259" s="6" t="s">
        <v>115</v>
      </c>
      <c r="F259" s="6" t="s">
        <v>207</v>
      </c>
      <c r="G259" s="6" t="s">
        <v>49</v>
      </c>
      <c r="H259" s="9">
        <v>18.0</v>
      </c>
      <c r="I259" s="11"/>
    </row>
    <row r="260">
      <c r="A260" s="6" t="s">
        <v>132</v>
      </c>
      <c r="B260" s="9">
        <v>69.0</v>
      </c>
      <c r="C260" s="9">
        <v>1.15</v>
      </c>
      <c r="D260" s="6" t="s">
        <v>115</v>
      </c>
      <c r="E260" s="6" t="s">
        <v>53</v>
      </c>
      <c r="F260" s="6" t="s">
        <v>57</v>
      </c>
      <c r="G260" s="6" t="s">
        <v>29</v>
      </c>
      <c r="H260" s="11"/>
      <c r="I260" s="6" t="s">
        <v>33</v>
      </c>
    </row>
    <row r="261">
      <c r="A261" s="6" t="s">
        <v>134</v>
      </c>
      <c r="B261" s="9">
        <v>73.0</v>
      </c>
      <c r="C261" s="9">
        <v>1.22</v>
      </c>
      <c r="D261" s="6" t="s">
        <v>25</v>
      </c>
      <c r="E261" s="6" t="s">
        <v>26</v>
      </c>
      <c r="F261" s="6" t="s">
        <v>27</v>
      </c>
      <c r="G261" s="6" t="s">
        <v>29</v>
      </c>
      <c r="H261" s="11"/>
      <c r="I261" s="6" t="s">
        <v>33</v>
      </c>
    </row>
    <row r="262">
      <c r="A262" s="6" t="s">
        <v>134</v>
      </c>
      <c r="B262" s="9">
        <v>73.0</v>
      </c>
      <c r="C262" s="9">
        <v>1.22</v>
      </c>
      <c r="D262" s="6" t="s">
        <v>26</v>
      </c>
      <c r="E262" s="6" t="s">
        <v>36</v>
      </c>
      <c r="F262" s="6" t="s">
        <v>37</v>
      </c>
      <c r="G262" s="6" t="s">
        <v>38</v>
      </c>
      <c r="H262" s="9">
        <v>33.0</v>
      </c>
      <c r="I262" s="11"/>
    </row>
    <row r="263">
      <c r="A263" s="6" t="s">
        <v>134</v>
      </c>
      <c r="B263" s="9">
        <v>73.0</v>
      </c>
      <c r="C263" s="9">
        <v>1.22</v>
      </c>
      <c r="D263" s="6" t="s">
        <v>36</v>
      </c>
      <c r="E263" s="6" t="s">
        <v>39</v>
      </c>
      <c r="F263" s="6" t="s">
        <v>40</v>
      </c>
      <c r="G263" s="6" t="s">
        <v>29</v>
      </c>
      <c r="H263" s="11"/>
      <c r="I263" s="6" t="s">
        <v>33</v>
      </c>
    </row>
    <row r="264">
      <c r="A264" s="6" t="s">
        <v>134</v>
      </c>
      <c r="B264" s="9">
        <v>73.0</v>
      </c>
      <c r="C264" s="9">
        <v>1.22</v>
      </c>
      <c r="D264" s="6" t="s">
        <v>39</v>
      </c>
      <c r="E264" s="6" t="s">
        <v>221</v>
      </c>
      <c r="F264" s="6" t="s">
        <v>44</v>
      </c>
      <c r="G264" s="6" t="s">
        <v>45</v>
      </c>
      <c r="H264" s="9">
        <v>5.0</v>
      </c>
      <c r="I264" s="11"/>
    </row>
    <row r="265">
      <c r="A265" s="6" t="s">
        <v>134</v>
      </c>
      <c r="B265" s="9">
        <v>73.0</v>
      </c>
      <c r="C265" s="9">
        <v>1.22</v>
      </c>
      <c r="D265" s="6" t="s">
        <v>221</v>
      </c>
      <c r="E265" s="6" t="s">
        <v>186</v>
      </c>
      <c r="F265" s="6" t="s">
        <v>40</v>
      </c>
      <c r="G265" s="6" t="s">
        <v>29</v>
      </c>
      <c r="H265" s="11"/>
      <c r="I265" s="6" t="s">
        <v>33</v>
      </c>
    </row>
    <row r="266">
      <c r="A266" s="6" t="s">
        <v>134</v>
      </c>
      <c r="B266" s="9">
        <v>73.0</v>
      </c>
      <c r="C266" s="9">
        <v>1.22</v>
      </c>
      <c r="D266" s="6" t="s">
        <v>186</v>
      </c>
      <c r="E266" s="6" t="s">
        <v>210</v>
      </c>
      <c r="F266" s="6" t="s">
        <v>211</v>
      </c>
      <c r="G266" s="6" t="s">
        <v>49</v>
      </c>
      <c r="H266" s="9">
        <v>22.0</v>
      </c>
      <c r="I266" s="11"/>
    </row>
    <row r="267">
      <c r="A267" s="6" t="s">
        <v>134</v>
      </c>
      <c r="B267" s="9">
        <v>73.0</v>
      </c>
      <c r="C267" s="9">
        <v>1.22</v>
      </c>
      <c r="D267" s="6" t="s">
        <v>210</v>
      </c>
      <c r="E267" s="6" t="s">
        <v>53</v>
      </c>
      <c r="F267" s="6">
        <v>1.0</v>
      </c>
      <c r="G267" s="6" t="s">
        <v>49</v>
      </c>
      <c r="H267" s="9">
        <v>13.0</v>
      </c>
      <c r="I267" s="11"/>
    </row>
    <row r="268">
      <c r="A268" s="6" t="s">
        <v>134</v>
      </c>
      <c r="B268" s="9">
        <v>73.0</v>
      </c>
      <c r="C268" s="9">
        <v>1.22</v>
      </c>
      <c r="D268" s="6" t="s">
        <v>53</v>
      </c>
      <c r="E268" s="6" t="s">
        <v>53</v>
      </c>
      <c r="F268" s="6" t="s">
        <v>57</v>
      </c>
      <c r="G268" s="6" t="s">
        <v>29</v>
      </c>
      <c r="H268" s="11"/>
      <c r="I268" s="6" t="s">
        <v>33</v>
      </c>
    </row>
    <row r="269">
      <c r="A269" s="6" t="s">
        <v>136</v>
      </c>
      <c r="B269" s="9">
        <v>91.0</v>
      </c>
      <c r="C269" s="9">
        <v>1.52</v>
      </c>
      <c r="D269" s="6" t="s">
        <v>25</v>
      </c>
      <c r="E269" s="6" t="s">
        <v>26</v>
      </c>
      <c r="F269" s="6" t="s">
        <v>27</v>
      </c>
      <c r="G269" s="6" t="s">
        <v>29</v>
      </c>
      <c r="H269" s="11"/>
      <c r="I269" s="6" t="s">
        <v>33</v>
      </c>
    </row>
    <row r="270">
      <c r="A270" s="6" t="s">
        <v>136</v>
      </c>
      <c r="B270" s="9">
        <v>91.0</v>
      </c>
      <c r="C270" s="9">
        <v>1.52</v>
      </c>
      <c r="D270" s="6" t="s">
        <v>26</v>
      </c>
      <c r="E270" s="6" t="s">
        <v>223</v>
      </c>
      <c r="F270" s="6" t="s">
        <v>37</v>
      </c>
      <c r="G270" s="6" t="s">
        <v>38</v>
      </c>
      <c r="H270" s="9">
        <v>5.0</v>
      </c>
      <c r="I270" s="11"/>
    </row>
    <row r="271">
      <c r="A271" s="6" t="s">
        <v>136</v>
      </c>
      <c r="B271" s="9">
        <v>91.0</v>
      </c>
      <c r="C271" s="9">
        <v>1.52</v>
      </c>
      <c r="D271" s="6" t="s">
        <v>223</v>
      </c>
      <c r="E271" s="6" t="s">
        <v>224</v>
      </c>
      <c r="F271" s="6" t="s">
        <v>225</v>
      </c>
      <c r="G271" s="6" t="s">
        <v>49</v>
      </c>
      <c r="H271" s="9">
        <v>45.0</v>
      </c>
      <c r="I271" s="11"/>
    </row>
    <row r="272">
      <c r="A272" s="6" t="s">
        <v>136</v>
      </c>
      <c r="B272" s="9">
        <v>91.0</v>
      </c>
      <c r="C272" s="9">
        <v>1.52</v>
      </c>
      <c r="D272" s="6" t="s">
        <v>224</v>
      </c>
      <c r="E272" s="6" t="s">
        <v>228</v>
      </c>
      <c r="F272" s="6" t="s">
        <v>40</v>
      </c>
      <c r="G272" s="6" t="s">
        <v>29</v>
      </c>
      <c r="H272" s="11"/>
      <c r="I272" s="6" t="s">
        <v>33</v>
      </c>
    </row>
    <row r="273">
      <c r="A273" s="6" t="s">
        <v>136</v>
      </c>
      <c r="B273" s="9">
        <v>91.0</v>
      </c>
      <c r="C273" s="9">
        <v>1.52</v>
      </c>
      <c r="D273" s="6" t="s">
        <v>228</v>
      </c>
      <c r="E273" s="6" t="s">
        <v>186</v>
      </c>
      <c r="F273" s="6">
        <v>9.0</v>
      </c>
      <c r="G273" s="6" t="s">
        <v>49</v>
      </c>
      <c r="H273" s="9">
        <v>17.0</v>
      </c>
      <c r="I273" s="11"/>
    </row>
    <row r="274">
      <c r="A274" s="6" t="s">
        <v>136</v>
      </c>
      <c r="B274" s="9">
        <v>91.0</v>
      </c>
      <c r="C274" s="9">
        <v>1.52</v>
      </c>
      <c r="D274" s="6" t="s">
        <v>186</v>
      </c>
      <c r="E274" s="6" t="s">
        <v>189</v>
      </c>
      <c r="F274" s="6" t="s">
        <v>190</v>
      </c>
      <c r="G274" s="6" t="s">
        <v>49</v>
      </c>
      <c r="H274" s="9">
        <v>21.0</v>
      </c>
      <c r="I274" s="11"/>
    </row>
    <row r="275">
      <c r="A275" s="6" t="s">
        <v>136</v>
      </c>
      <c r="B275" s="9">
        <v>91.0</v>
      </c>
      <c r="C275" s="9">
        <v>1.52</v>
      </c>
      <c r="D275" s="6" t="s">
        <v>189</v>
      </c>
      <c r="E275" s="6" t="s">
        <v>52</v>
      </c>
      <c r="F275" s="6" t="s">
        <v>40</v>
      </c>
      <c r="G275" s="6" t="s">
        <v>29</v>
      </c>
      <c r="H275" s="11"/>
      <c r="I275" s="6" t="s">
        <v>33</v>
      </c>
    </row>
    <row r="276">
      <c r="A276" s="6" t="s">
        <v>136</v>
      </c>
      <c r="B276" s="9">
        <v>91.0</v>
      </c>
      <c r="C276" s="9">
        <v>1.52</v>
      </c>
      <c r="D276" s="6" t="s">
        <v>52</v>
      </c>
      <c r="E276" s="6" t="s">
        <v>53</v>
      </c>
      <c r="F276" s="6">
        <v>1.0</v>
      </c>
      <c r="G276" s="6" t="s">
        <v>49</v>
      </c>
      <c r="H276" s="9">
        <v>3.0</v>
      </c>
      <c r="I276" s="11"/>
    </row>
    <row r="277">
      <c r="A277" s="6" t="s">
        <v>136</v>
      </c>
      <c r="B277" s="9">
        <v>91.0</v>
      </c>
      <c r="C277" s="9">
        <v>1.52</v>
      </c>
      <c r="D277" s="6" t="s">
        <v>53</v>
      </c>
      <c r="E277" s="6" t="s">
        <v>53</v>
      </c>
      <c r="F277" s="6" t="s">
        <v>57</v>
      </c>
      <c r="G277" s="6" t="s">
        <v>29</v>
      </c>
      <c r="H277" s="11"/>
      <c r="I277" s="6" t="s">
        <v>33</v>
      </c>
    </row>
    <row r="278">
      <c r="A278" s="6" t="s">
        <v>138</v>
      </c>
      <c r="B278" s="9">
        <v>95.0</v>
      </c>
      <c r="C278" s="9">
        <v>1.58</v>
      </c>
      <c r="D278" s="6" t="s">
        <v>25</v>
      </c>
      <c r="E278" s="6" t="s">
        <v>26</v>
      </c>
      <c r="F278" s="6" t="s">
        <v>27</v>
      </c>
      <c r="G278" s="6" t="s">
        <v>29</v>
      </c>
      <c r="H278" s="11"/>
      <c r="I278" s="6" t="s">
        <v>33</v>
      </c>
    </row>
    <row r="279">
      <c r="A279" s="6" t="s">
        <v>138</v>
      </c>
      <c r="B279" s="9">
        <v>95.0</v>
      </c>
      <c r="C279" s="9">
        <v>1.58</v>
      </c>
      <c r="D279" s="6" t="s">
        <v>26</v>
      </c>
      <c r="E279" s="6" t="s">
        <v>223</v>
      </c>
      <c r="F279" s="6" t="s">
        <v>37</v>
      </c>
      <c r="G279" s="6" t="s">
        <v>38</v>
      </c>
      <c r="H279" s="9">
        <v>5.0</v>
      </c>
      <c r="I279" s="11"/>
    </row>
    <row r="280">
      <c r="A280" s="6" t="s">
        <v>138</v>
      </c>
      <c r="B280" s="9">
        <v>95.0</v>
      </c>
      <c r="C280" s="9">
        <v>1.58</v>
      </c>
      <c r="D280" s="6" t="s">
        <v>223</v>
      </c>
      <c r="E280" s="6" t="s">
        <v>224</v>
      </c>
      <c r="F280" s="6" t="s">
        <v>225</v>
      </c>
      <c r="G280" s="6" t="s">
        <v>49</v>
      </c>
      <c r="H280" s="9">
        <v>45.0</v>
      </c>
      <c r="I280" s="11"/>
    </row>
    <row r="281">
      <c r="A281" s="6" t="s">
        <v>138</v>
      </c>
      <c r="B281" s="9">
        <v>95.0</v>
      </c>
      <c r="C281" s="9">
        <v>1.58</v>
      </c>
      <c r="D281" s="6" t="s">
        <v>224</v>
      </c>
      <c r="E281" s="6" t="s">
        <v>228</v>
      </c>
      <c r="F281" s="6" t="s">
        <v>40</v>
      </c>
      <c r="G281" s="6" t="s">
        <v>29</v>
      </c>
      <c r="H281" s="11"/>
      <c r="I281" s="6" t="s">
        <v>33</v>
      </c>
    </row>
    <row r="282">
      <c r="A282" s="6" t="s">
        <v>138</v>
      </c>
      <c r="B282" s="9">
        <v>95.0</v>
      </c>
      <c r="C282" s="9">
        <v>1.58</v>
      </c>
      <c r="D282" s="6" t="s">
        <v>228</v>
      </c>
      <c r="E282" s="6" t="s">
        <v>186</v>
      </c>
      <c r="F282" s="6">
        <v>9.0</v>
      </c>
      <c r="G282" s="6" t="s">
        <v>49</v>
      </c>
      <c r="H282" s="9">
        <v>17.0</v>
      </c>
      <c r="I282" s="11"/>
    </row>
    <row r="283">
      <c r="A283" s="6" t="s">
        <v>138</v>
      </c>
      <c r="B283" s="9">
        <v>95.0</v>
      </c>
      <c r="C283" s="9">
        <v>1.58</v>
      </c>
      <c r="D283" s="6" t="s">
        <v>186</v>
      </c>
      <c r="E283" s="6" t="s">
        <v>203</v>
      </c>
      <c r="F283" s="6" t="s">
        <v>204</v>
      </c>
      <c r="G283" s="6" t="s">
        <v>49</v>
      </c>
      <c r="H283" s="9">
        <v>7.0</v>
      </c>
      <c r="I283" s="11"/>
    </row>
    <row r="284">
      <c r="A284" s="6" t="s">
        <v>138</v>
      </c>
      <c r="B284" s="9">
        <v>95.0</v>
      </c>
      <c r="C284" s="9">
        <v>1.58</v>
      </c>
      <c r="D284" s="6" t="s">
        <v>203</v>
      </c>
      <c r="E284" s="6" t="s">
        <v>202</v>
      </c>
      <c r="F284" s="6" t="s">
        <v>40</v>
      </c>
      <c r="G284" s="6" t="s">
        <v>29</v>
      </c>
      <c r="H284" s="11"/>
      <c r="I284" s="6" t="s">
        <v>33</v>
      </c>
    </row>
    <row r="285">
      <c r="A285" s="6" t="s">
        <v>138</v>
      </c>
      <c r="B285" s="9">
        <v>95.0</v>
      </c>
      <c r="C285" s="9">
        <v>1.58</v>
      </c>
      <c r="D285" s="6" t="s">
        <v>202</v>
      </c>
      <c r="E285" s="6" t="s">
        <v>52</v>
      </c>
      <c r="F285" s="6" t="s">
        <v>209</v>
      </c>
      <c r="G285" s="6" t="s">
        <v>49</v>
      </c>
      <c r="H285" s="9">
        <v>18.0</v>
      </c>
      <c r="I285" s="11"/>
    </row>
    <row r="286">
      <c r="A286" s="6" t="s">
        <v>138</v>
      </c>
      <c r="B286" s="9">
        <v>95.0</v>
      </c>
      <c r="C286" s="9">
        <v>1.58</v>
      </c>
      <c r="D286" s="6" t="s">
        <v>52</v>
      </c>
      <c r="E286" s="6" t="s">
        <v>53</v>
      </c>
      <c r="F286" s="6">
        <v>1.0</v>
      </c>
      <c r="G286" s="6" t="s">
        <v>49</v>
      </c>
      <c r="H286" s="9">
        <v>3.0</v>
      </c>
      <c r="I286" s="11"/>
    </row>
    <row r="287">
      <c r="A287" s="6" t="s">
        <v>138</v>
      </c>
      <c r="B287" s="9">
        <v>95.0</v>
      </c>
      <c r="C287" s="9">
        <v>1.58</v>
      </c>
      <c r="D287" s="6" t="s">
        <v>53</v>
      </c>
      <c r="E287" s="6" t="s">
        <v>53</v>
      </c>
      <c r="F287" s="6" t="s">
        <v>57</v>
      </c>
      <c r="G287" s="6" t="s">
        <v>29</v>
      </c>
      <c r="H287" s="11"/>
      <c r="I287" s="6" t="s">
        <v>33</v>
      </c>
    </row>
    <row r="288">
      <c r="A288" s="6" t="s">
        <v>140</v>
      </c>
      <c r="B288" s="9">
        <v>92.0</v>
      </c>
      <c r="C288" s="9">
        <v>1.53</v>
      </c>
      <c r="D288" s="6" t="s">
        <v>25</v>
      </c>
      <c r="E288" s="6" t="s">
        <v>26</v>
      </c>
      <c r="F288" s="6" t="s">
        <v>27</v>
      </c>
      <c r="G288" s="6" t="s">
        <v>29</v>
      </c>
      <c r="H288" s="11"/>
      <c r="I288" s="6" t="s">
        <v>33</v>
      </c>
    </row>
    <row r="289">
      <c r="A289" s="6" t="s">
        <v>140</v>
      </c>
      <c r="B289" s="9">
        <v>92.0</v>
      </c>
      <c r="C289" s="9">
        <v>1.53</v>
      </c>
      <c r="D289" s="6" t="s">
        <v>26</v>
      </c>
      <c r="E289" s="6" t="s">
        <v>223</v>
      </c>
      <c r="F289" s="6" t="s">
        <v>37</v>
      </c>
      <c r="G289" s="6" t="s">
        <v>38</v>
      </c>
      <c r="H289" s="9">
        <v>5.0</v>
      </c>
      <c r="I289" s="11"/>
    </row>
    <row r="290">
      <c r="A290" s="6" t="s">
        <v>140</v>
      </c>
      <c r="B290" s="9">
        <v>92.0</v>
      </c>
      <c r="C290" s="9">
        <v>1.53</v>
      </c>
      <c r="D290" s="6" t="s">
        <v>223</v>
      </c>
      <c r="E290" s="6" t="s">
        <v>224</v>
      </c>
      <c r="F290" s="6" t="s">
        <v>225</v>
      </c>
      <c r="G290" s="6" t="s">
        <v>49</v>
      </c>
      <c r="H290" s="9">
        <v>45.0</v>
      </c>
      <c r="I290" s="11"/>
    </row>
    <row r="291">
      <c r="A291" s="6" t="s">
        <v>140</v>
      </c>
      <c r="B291" s="9">
        <v>92.0</v>
      </c>
      <c r="C291" s="9">
        <v>1.53</v>
      </c>
      <c r="D291" s="6" t="s">
        <v>224</v>
      </c>
      <c r="E291" s="6" t="s">
        <v>228</v>
      </c>
      <c r="F291" s="6" t="s">
        <v>40</v>
      </c>
      <c r="G291" s="6" t="s">
        <v>29</v>
      </c>
      <c r="H291" s="11"/>
      <c r="I291" s="6" t="s">
        <v>33</v>
      </c>
    </row>
    <row r="292">
      <c r="A292" s="6" t="s">
        <v>140</v>
      </c>
      <c r="B292" s="9">
        <v>92.0</v>
      </c>
      <c r="C292" s="9">
        <v>1.53</v>
      </c>
      <c r="D292" s="6" t="s">
        <v>228</v>
      </c>
      <c r="E292" s="6" t="s">
        <v>186</v>
      </c>
      <c r="F292" s="6">
        <v>9.0</v>
      </c>
      <c r="G292" s="6" t="s">
        <v>49</v>
      </c>
      <c r="H292" s="9">
        <v>17.0</v>
      </c>
      <c r="I292" s="11"/>
    </row>
    <row r="293">
      <c r="A293" s="6" t="s">
        <v>140</v>
      </c>
      <c r="B293" s="9">
        <v>92.0</v>
      </c>
      <c r="C293" s="9">
        <v>1.53</v>
      </c>
      <c r="D293" s="6" t="s">
        <v>186</v>
      </c>
      <c r="E293" s="6" t="s">
        <v>203</v>
      </c>
      <c r="F293" s="6" t="s">
        <v>204</v>
      </c>
      <c r="G293" s="6" t="s">
        <v>49</v>
      </c>
      <c r="H293" s="9">
        <v>7.0</v>
      </c>
      <c r="I293" s="11"/>
    </row>
    <row r="294">
      <c r="A294" s="6" t="s">
        <v>140</v>
      </c>
      <c r="B294" s="9">
        <v>92.0</v>
      </c>
      <c r="C294" s="9">
        <v>1.53</v>
      </c>
      <c r="D294" s="6" t="s">
        <v>203</v>
      </c>
      <c r="E294" s="6" t="s">
        <v>202</v>
      </c>
      <c r="F294" s="6" t="s">
        <v>40</v>
      </c>
      <c r="G294" s="6" t="s">
        <v>29</v>
      </c>
      <c r="H294" s="11"/>
      <c r="I294" s="6" t="s">
        <v>33</v>
      </c>
    </row>
    <row r="295">
      <c r="A295" s="6" t="s">
        <v>140</v>
      </c>
      <c r="B295" s="9">
        <v>92.0</v>
      </c>
      <c r="C295" s="9">
        <v>1.53</v>
      </c>
      <c r="D295" s="6" t="s">
        <v>202</v>
      </c>
      <c r="E295" s="6" t="s">
        <v>115</v>
      </c>
      <c r="F295" s="6" t="s">
        <v>207</v>
      </c>
      <c r="G295" s="6" t="s">
        <v>49</v>
      </c>
      <c r="H295" s="9">
        <v>18.0</v>
      </c>
      <c r="I295" s="11"/>
    </row>
    <row r="296">
      <c r="A296" s="6" t="s">
        <v>140</v>
      </c>
      <c r="B296" s="9">
        <v>92.0</v>
      </c>
      <c r="C296" s="9">
        <v>1.53</v>
      </c>
      <c r="D296" s="6" t="s">
        <v>115</v>
      </c>
      <c r="E296" s="6" t="s">
        <v>53</v>
      </c>
      <c r="F296" s="6" t="s">
        <v>57</v>
      </c>
      <c r="G296" s="6" t="s">
        <v>29</v>
      </c>
      <c r="H296" s="11"/>
      <c r="I296" s="6" t="s">
        <v>33</v>
      </c>
    </row>
    <row r="297">
      <c r="A297" s="6" t="s">
        <v>142</v>
      </c>
      <c r="B297" s="9">
        <v>102.0</v>
      </c>
      <c r="C297" s="9">
        <v>1.7</v>
      </c>
      <c r="D297" s="6" t="s">
        <v>25</v>
      </c>
      <c r="E297" s="6" t="s">
        <v>26</v>
      </c>
      <c r="F297" s="6" t="s">
        <v>27</v>
      </c>
      <c r="G297" s="6" t="s">
        <v>29</v>
      </c>
      <c r="H297" s="11"/>
      <c r="I297" s="6" t="s">
        <v>33</v>
      </c>
    </row>
    <row r="298">
      <c r="A298" s="6" t="s">
        <v>142</v>
      </c>
      <c r="B298" s="9">
        <v>102.0</v>
      </c>
      <c r="C298" s="9">
        <v>1.7</v>
      </c>
      <c r="D298" s="6" t="s">
        <v>26</v>
      </c>
      <c r="E298" s="6" t="s">
        <v>223</v>
      </c>
      <c r="F298" s="6" t="s">
        <v>37</v>
      </c>
      <c r="G298" s="6" t="s">
        <v>38</v>
      </c>
      <c r="H298" s="9">
        <v>5.0</v>
      </c>
      <c r="I298" s="11"/>
    </row>
    <row r="299">
      <c r="A299" s="6" t="s">
        <v>142</v>
      </c>
      <c r="B299" s="9">
        <v>102.0</v>
      </c>
      <c r="C299" s="9">
        <v>1.7</v>
      </c>
      <c r="D299" s="6" t="s">
        <v>223</v>
      </c>
      <c r="E299" s="6" t="s">
        <v>224</v>
      </c>
      <c r="F299" s="6" t="s">
        <v>225</v>
      </c>
      <c r="G299" s="6" t="s">
        <v>49</v>
      </c>
      <c r="H299" s="9">
        <v>45.0</v>
      </c>
      <c r="I299" s="11"/>
    </row>
    <row r="300">
      <c r="A300" s="6" t="s">
        <v>142</v>
      </c>
      <c r="B300" s="9">
        <v>102.0</v>
      </c>
      <c r="C300" s="9">
        <v>1.7</v>
      </c>
      <c r="D300" s="6" t="s">
        <v>224</v>
      </c>
      <c r="E300" s="6" t="s">
        <v>228</v>
      </c>
      <c r="F300" s="6" t="s">
        <v>40</v>
      </c>
      <c r="G300" s="6" t="s">
        <v>29</v>
      </c>
      <c r="H300" s="11"/>
      <c r="I300" s="6" t="s">
        <v>33</v>
      </c>
    </row>
    <row r="301">
      <c r="A301" s="6" t="s">
        <v>142</v>
      </c>
      <c r="B301" s="9">
        <v>102.0</v>
      </c>
      <c r="C301" s="9">
        <v>1.7</v>
      </c>
      <c r="D301" s="6" t="s">
        <v>228</v>
      </c>
      <c r="E301" s="6" t="s">
        <v>186</v>
      </c>
      <c r="F301" s="6">
        <v>9.0</v>
      </c>
      <c r="G301" s="6" t="s">
        <v>49</v>
      </c>
      <c r="H301" s="9">
        <v>17.0</v>
      </c>
      <c r="I301" s="11"/>
    </row>
    <row r="302">
      <c r="A302" s="6" t="s">
        <v>142</v>
      </c>
      <c r="B302" s="9">
        <v>102.0</v>
      </c>
      <c r="C302" s="9">
        <v>1.7</v>
      </c>
      <c r="D302" s="6" t="s">
        <v>186</v>
      </c>
      <c r="E302" s="6" t="s">
        <v>52</v>
      </c>
      <c r="F302" s="6" t="s">
        <v>208</v>
      </c>
      <c r="G302" s="6" t="s">
        <v>49</v>
      </c>
      <c r="H302" s="9">
        <v>32.0</v>
      </c>
      <c r="I302" s="11"/>
    </row>
    <row r="303">
      <c r="A303" s="6" t="s">
        <v>142</v>
      </c>
      <c r="B303" s="9">
        <v>102.0</v>
      </c>
      <c r="C303" s="9">
        <v>1.7</v>
      </c>
      <c r="D303" s="6" t="s">
        <v>52</v>
      </c>
      <c r="E303" s="6" t="s">
        <v>53</v>
      </c>
      <c r="F303" s="6">
        <v>1.0</v>
      </c>
      <c r="G303" s="6" t="s">
        <v>49</v>
      </c>
      <c r="H303" s="9">
        <v>3.0</v>
      </c>
      <c r="I303" s="11"/>
    </row>
    <row r="304">
      <c r="A304" s="6" t="s">
        <v>142</v>
      </c>
      <c r="B304" s="9">
        <v>102.0</v>
      </c>
      <c r="C304" s="9">
        <v>1.7</v>
      </c>
      <c r="D304" s="6" t="s">
        <v>53</v>
      </c>
      <c r="E304" s="6" t="s">
        <v>53</v>
      </c>
      <c r="F304" s="6" t="s">
        <v>57</v>
      </c>
      <c r="G304" s="6" t="s">
        <v>29</v>
      </c>
      <c r="H304" s="11"/>
      <c r="I304" s="6" t="s">
        <v>33</v>
      </c>
    </row>
    <row r="305">
      <c r="A305" s="6" t="s">
        <v>144</v>
      </c>
      <c r="B305" s="9">
        <v>94.0</v>
      </c>
      <c r="C305" s="9">
        <v>1.57</v>
      </c>
      <c r="D305" s="6" t="s">
        <v>25</v>
      </c>
      <c r="E305" s="6" t="s">
        <v>26</v>
      </c>
      <c r="F305" s="6" t="s">
        <v>27</v>
      </c>
      <c r="G305" s="6" t="s">
        <v>29</v>
      </c>
      <c r="H305" s="11"/>
      <c r="I305" s="6" t="s">
        <v>33</v>
      </c>
    </row>
    <row r="306">
      <c r="A306" s="6" t="s">
        <v>144</v>
      </c>
      <c r="B306" s="9">
        <v>94.0</v>
      </c>
      <c r="C306" s="9">
        <v>1.57</v>
      </c>
      <c r="D306" s="6" t="s">
        <v>26</v>
      </c>
      <c r="E306" s="6" t="s">
        <v>223</v>
      </c>
      <c r="F306" s="6" t="s">
        <v>37</v>
      </c>
      <c r="G306" s="6" t="s">
        <v>38</v>
      </c>
      <c r="H306" s="9">
        <v>5.0</v>
      </c>
      <c r="I306" s="11"/>
    </row>
    <row r="307">
      <c r="A307" s="6" t="s">
        <v>144</v>
      </c>
      <c r="B307" s="9">
        <v>94.0</v>
      </c>
      <c r="C307" s="9">
        <v>1.57</v>
      </c>
      <c r="D307" s="6" t="s">
        <v>223</v>
      </c>
      <c r="E307" s="6" t="s">
        <v>224</v>
      </c>
      <c r="F307" s="6" t="s">
        <v>225</v>
      </c>
      <c r="G307" s="6" t="s">
        <v>49</v>
      </c>
      <c r="H307" s="9">
        <v>45.0</v>
      </c>
      <c r="I307" s="11"/>
    </row>
    <row r="308">
      <c r="A308" s="6" t="s">
        <v>144</v>
      </c>
      <c r="B308" s="9">
        <v>94.0</v>
      </c>
      <c r="C308" s="9">
        <v>1.57</v>
      </c>
      <c r="D308" s="6" t="s">
        <v>224</v>
      </c>
      <c r="E308" s="6" t="s">
        <v>228</v>
      </c>
      <c r="F308" s="6" t="s">
        <v>40</v>
      </c>
      <c r="G308" s="6" t="s">
        <v>29</v>
      </c>
      <c r="H308" s="11"/>
      <c r="I308" s="6" t="s">
        <v>33</v>
      </c>
    </row>
    <row r="309">
      <c r="A309" s="6" t="s">
        <v>144</v>
      </c>
      <c r="B309" s="9">
        <v>94.0</v>
      </c>
      <c r="C309" s="9">
        <v>1.57</v>
      </c>
      <c r="D309" s="6" t="s">
        <v>228</v>
      </c>
      <c r="E309" s="6" t="s">
        <v>199</v>
      </c>
      <c r="F309" s="6">
        <v>9.0</v>
      </c>
      <c r="G309" s="6" t="s">
        <v>49</v>
      </c>
      <c r="H309" s="9">
        <v>23.0</v>
      </c>
      <c r="I309" s="11"/>
    </row>
    <row r="310">
      <c r="A310" s="6" t="s">
        <v>144</v>
      </c>
      <c r="B310" s="9">
        <v>94.0</v>
      </c>
      <c r="C310" s="9">
        <v>1.57</v>
      </c>
      <c r="D310" s="6" t="s">
        <v>199</v>
      </c>
      <c r="E310" s="6" t="s">
        <v>202</v>
      </c>
      <c r="F310" s="6" t="s">
        <v>40</v>
      </c>
      <c r="G310" s="6" t="s">
        <v>29</v>
      </c>
      <c r="H310" s="11"/>
      <c r="I310" s="6" t="s">
        <v>33</v>
      </c>
    </row>
    <row r="311">
      <c r="A311" s="6" t="s">
        <v>144</v>
      </c>
      <c r="B311" s="9">
        <v>94.0</v>
      </c>
      <c r="C311" s="9">
        <v>1.57</v>
      </c>
      <c r="D311" s="6" t="s">
        <v>202</v>
      </c>
      <c r="E311" s="6" t="s">
        <v>52</v>
      </c>
      <c r="F311" s="6" t="s">
        <v>209</v>
      </c>
      <c r="G311" s="6" t="s">
        <v>49</v>
      </c>
      <c r="H311" s="9">
        <v>18.0</v>
      </c>
      <c r="I311" s="11"/>
    </row>
    <row r="312">
      <c r="A312" s="6" t="s">
        <v>144</v>
      </c>
      <c r="B312" s="9">
        <v>94.0</v>
      </c>
      <c r="C312" s="9">
        <v>1.57</v>
      </c>
      <c r="D312" s="6" t="s">
        <v>52</v>
      </c>
      <c r="E312" s="6" t="s">
        <v>53</v>
      </c>
      <c r="F312" s="6">
        <v>1.0</v>
      </c>
      <c r="G312" s="6" t="s">
        <v>49</v>
      </c>
      <c r="H312" s="9">
        <v>3.0</v>
      </c>
      <c r="I312" s="11"/>
    </row>
    <row r="313">
      <c r="A313" s="6" t="s">
        <v>144</v>
      </c>
      <c r="B313" s="9">
        <v>94.0</v>
      </c>
      <c r="C313" s="9">
        <v>1.57</v>
      </c>
      <c r="D313" s="6" t="s">
        <v>53</v>
      </c>
      <c r="E313" s="6" t="s">
        <v>53</v>
      </c>
      <c r="F313" s="6" t="s">
        <v>57</v>
      </c>
      <c r="G313" s="6" t="s">
        <v>29</v>
      </c>
      <c r="H313" s="11"/>
      <c r="I313" s="6" t="s">
        <v>33</v>
      </c>
    </row>
    <row r="314">
      <c r="A314" s="6" t="s">
        <v>146</v>
      </c>
      <c r="B314" s="9">
        <v>98.0</v>
      </c>
      <c r="C314" s="9">
        <v>1.63</v>
      </c>
      <c r="D314" s="6" t="s">
        <v>25</v>
      </c>
      <c r="E314" s="6" t="s">
        <v>26</v>
      </c>
      <c r="F314" s="6" t="s">
        <v>27</v>
      </c>
      <c r="G314" s="6" t="s">
        <v>29</v>
      </c>
      <c r="H314" s="11"/>
      <c r="I314" s="6" t="s">
        <v>33</v>
      </c>
    </row>
    <row r="315">
      <c r="A315" s="6" t="s">
        <v>146</v>
      </c>
      <c r="B315" s="9">
        <v>98.0</v>
      </c>
      <c r="C315" s="9">
        <v>1.63</v>
      </c>
      <c r="D315" s="6" t="s">
        <v>26</v>
      </c>
      <c r="E315" s="6" t="s">
        <v>223</v>
      </c>
      <c r="F315" s="6" t="s">
        <v>37</v>
      </c>
      <c r="G315" s="6" t="s">
        <v>38</v>
      </c>
      <c r="H315" s="9">
        <v>5.0</v>
      </c>
      <c r="I315" s="11"/>
    </row>
    <row r="316">
      <c r="A316" s="6" t="s">
        <v>146</v>
      </c>
      <c r="B316" s="9">
        <v>98.0</v>
      </c>
      <c r="C316" s="9">
        <v>1.63</v>
      </c>
      <c r="D316" s="6" t="s">
        <v>223</v>
      </c>
      <c r="E316" s="6" t="s">
        <v>224</v>
      </c>
      <c r="F316" s="6" t="s">
        <v>225</v>
      </c>
      <c r="G316" s="6" t="s">
        <v>49</v>
      </c>
      <c r="H316" s="9">
        <v>45.0</v>
      </c>
      <c r="I316" s="11"/>
    </row>
    <row r="317">
      <c r="A317" s="6" t="s">
        <v>146</v>
      </c>
      <c r="B317" s="9">
        <v>98.0</v>
      </c>
      <c r="C317" s="9">
        <v>1.63</v>
      </c>
      <c r="D317" s="6" t="s">
        <v>224</v>
      </c>
      <c r="E317" s="6" t="s">
        <v>228</v>
      </c>
      <c r="F317" s="6" t="s">
        <v>40</v>
      </c>
      <c r="G317" s="6" t="s">
        <v>29</v>
      </c>
      <c r="H317" s="11"/>
      <c r="I317" s="6" t="s">
        <v>33</v>
      </c>
    </row>
    <row r="318">
      <c r="A318" s="6" t="s">
        <v>146</v>
      </c>
      <c r="B318" s="9">
        <v>98.0</v>
      </c>
      <c r="C318" s="9">
        <v>1.63</v>
      </c>
      <c r="D318" s="6" t="s">
        <v>228</v>
      </c>
      <c r="E318" s="6" t="s">
        <v>186</v>
      </c>
      <c r="F318" s="6">
        <v>9.0</v>
      </c>
      <c r="G318" s="6" t="s">
        <v>49</v>
      </c>
      <c r="H318" s="9">
        <v>17.0</v>
      </c>
      <c r="I318" s="11"/>
    </row>
    <row r="319">
      <c r="A319" s="6" t="s">
        <v>146</v>
      </c>
      <c r="B319" s="9">
        <v>98.0</v>
      </c>
      <c r="C319" s="9">
        <v>1.63</v>
      </c>
      <c r="D319" s="6" t="s">
        <v>186</v>
      </c>
      <c r="E319" s="6" t="s">
        <v>199</v>
      </c>
      <c r="F319" s="6">
        <v>9.0</v>
      </c>
      <c r="G319" s="6" t="s">
        <v>49</v>
      </c>
      <c r="H319" s="9">
        <v>13.0</v>
      </c>
      <c r="I319" s="11"/>
    </row>
    <row r="320">
      <c r="A320" s="6" t="s">
        <v>146</v>
      </c>
      <c r="B320" s="9">
        <v>98.0</v>
      </c>
      <c r="C320" s="9">
        <v>1.63</v>
      </c>
      <c r="D320" s="6" t="s">
        <v>199</v>
      </c>
      <c r="E320" s="6" t="s">
        <v>202</v>
      </c>
      <c r="F320" s="6" t="s">
        <v>40</v>
      </c>
      <c r="G320" s="6" t="s">
        <v>29</v>
      </c>
      <c r="H320" s="11"/>
      <c r="I320" s="6" t="s">
        <v>33</v>
      </c>
    </row>
    <row r="321">
      <c r="A321" s="6" t="s">
        <v>146</v>
      </c>
      <c r="B321" s="9">
        <v>98.0</v>
      </c>
      <c r="C321" s="9">
        <v>1.63</v>
      </c>
      <c r="D321" s="6" t="s">
        <v>202</v>
      </c>
      <c r="E321" s="6" t="s">
        <v>115</v>
      </c>
      <c r="F321" s="6" t="s">
        <v>207</v>
      </c>
      <c r="G321" s="6" t="s">
        <v>49</v>
      </c>
      <c r="H321" s="9">
        <v>18.0</v>
      </c>
      <c r="I321" s="11"/>
    </row>
    <row r="322">
      <c r="A322" s="6" t="s">
        <v>146</v>
      </c>
      <c r="B322" s="9">
        <v>98.0</v>
      </c>
      <c r="C322" s="9">
        <v>1.63</v>
      </c>
      <c r="D322" s="6" t="s">
        <v>115</v>
      </c>
      <c r="E322" s="6" t="s">
        <v>53</v>
      </c>
      <c r="F322" s="6" t="s">
        <v>57</v>
      </c>
      <c r="G322" s="6" t="s">
        <v>29</v>
      </c>
      <c r="H322" s="11"/>
      <c r="I322" s="6" t="s">
        <v>33</v>
      </c>
    </row>
    <row r="323">
      <c r="A323" s="6" t="s">
        <v>148</v>
      </c>
      <c r="B323" s="9">
        <v>102.0</v>
      </c>
      <c r="C323" s="9">
        <v>1.7</v>
      </c>
      <c r="D323" s="6" t="s">
        <v>25</v>
      </c>
      <c r="E323" s="6" t="s">
        <v>26</v>
      </c>
      <c r="F323" s="6" t="s">
        <v>27</v>
      </c>
      <c r="G323" s="6" t="s">
        <v>29</v>
      </c>
      <c r="H323" s="11"/>
      <c r="I323" s="6" t="s">
        <v>33</v>
      </c>
    </row>
    <row r="324">
      <c r="A324" s="6" t="s">
        <v>148</v>
      </c>
      <c r="B324" s="9">
        <v>102.0</v>
      </c>
      <c r="C324" s="9">
        <v>1.7</v>
      </c>
      <c r="D324" s="6" t="s">
        <v>26</v>
      </c>
      <c r="E324" s="6" t="s">
        <v>223</v>
      </c>
      <c r="F324" s="6" t="s">
        <v>37</v>
      </c>
      <c r="G324" s="6" t="s">
        <v>38</v>
      </c>
      <c r="H324" s="9">
        <v>5.0</v>
      </c>
      <c r="I324" s="11"/>
    </row>
    <row r="325">
      <c r="A325" s="6" t="s">
        <v>148</v>
      </c>
      <c r="B325" s="9">
        <v>102.0</v>
      </c>
      <c r="C325" s="9">
        <v>1.7</v>
      </c>
      <c r="D325" s="6" t="s">
        <v>223</v>
      </c>
      <c r="E325" s="6" t="s">
        <v>224</v>
      </c>
      <c r="F325" s="6" t="s">
        <v>225</v>
      </c>
      <c r="G325" s="6" t="s">
        <v>49</v>
      </c>
      <c r="H325" s="9">
        <v>45.0</v>
      </c>
      <c r="I325" s="11"/>
    </row>
    <row r="326">
      <c r="A326" s="6" t="s">
        <v>148</v>
      </c>
      <c r="B326" s="9">
        <v>102.0</v>
      </c>
      <c r="C326" s="9">
        <v>1.7</v>
      </c>
      <c r="D326" s="6" t="s">
        <v>224</v>
      </c>
      <c r="E326" s="6" t="s">
        <v>228</v>
      </c>
      <c r="F326" s="6" t="s">
        <v>40</v>
      </c>
      <c r="G326" s="6" t="s">
        <v>29</v>
      </c>
      <c r="H326" s="11"/>
      <c r="I326" s="6" t="s">
        <v>33</v>
      </c>
    </row>
    <row r="327">
      <c r="A327" s="6" t="s">
        <v>148</v>
      </c>
      <c r="B327" s="9">
        <v>102.0</v>
      </c>
      <c r="C327" s="9">
        <v>1.7</v>
      </c>
      <c r="D327" s="6" t="s">
        <v>228</v>
      </c>
      <c r="E327" s="6" t="s">
        <v>186</v>
      </c>
      <c r="F327" s="6">
        <v>9.0</v>
      </c>
      <c r="G327" s="6" t="s">
        <v>49</v>
      </c>
      <c r="H327" s="9">
        <v>17.0</v>
      </c>
      <c r="I327" s="11"/>
    </row>
    <row r="328">
      <c r="A328" s="6" t="s">
        <v>148</v>
      </c>
      <c r="B328" s="9">
        <v>102.0</v>
      </c>
      <c r="C328" s="9">
        <v>1.7</v>
      </c>
      <c r="D328" s="6" t="s">
        <v>186</v>
      </c>
      <c r="E328" s="6" t="s">
        <v>210</v>
      </c>
      <c r="F328" s="6" t="s">
        <v>211</v>
      </c>
      <c r="G328" s="6" t="s">
        <v>49</v>
      </c>
      <c r="H328" s="9">
        <v>22.0</v>
      </c>
      <c r="I328" s="11"/>
    </row>
    <row r="329">
      <c r="A329" s="6" t="s">
        <v>148</v>
      </c>
      <c r="B329" s="9">
        <v>102.0</v>
      </c>
      <c r="C329" s="9">
        <v>1.7</v>
      </c>
      <c r="D329" s="6" t="s">
        <v>210</v>
      </c>
      <c r="E329" s="6" t="s">
        <v>53</v>
      </c>
      <c r="F329" s="6">
        <v>1.0</v>
      </c>
      <c r="G329" s="6" t="s">
        <v>49</v>
      </c>
      <c r="H329" s="9">
        <v>13.0</v>
      </c>
      <c r="I329" s="11"/>
    </row>
    <row r="330">
      <c r="A330" s="6" t="s">
        <v>148</v>
      </c>
      <c r="B330" s="9">
        <v>102.0</v>
      </c>
      <c r="C330" s="9">
        <v>1.7</v>
      </c>
      <c r="D330" s="6" t="s">
        <v>53</v>
      </c>
      <c r="E330" s="6" t="s">
        <v>53</v>
      </c>
      <c r="F330" s="6" t="s">
        <v>57</v>
      </c>
      <c r="G330" s="6" t="s">
        <v>29</v>
      </c>
      <c r="H330" s="11"/>
      <c r="I330" s="6" t="s">
        <v>33</v>
      </c>
    </row>
    <row r="331">
      <c r="A331" s="6" t="s">
        <v>150</v>
      </c>
      <c r="B331" s="9">
        <v>94.0</v>
      </c>
      <c r="C331" s="9">
        <v>1.57</v>
      </c>
      <c r="D331" s="6" t="s">
        <v>25</v>
      </c>
      <c r="E331" s="6" t="s">
        <v>26</v>
      </c>
      <c r="F331" s="6" t="s">
        <v>27</v>
      </c>
      <c r="G331" s="6" t="s">
        <v>29</v>
      </c>
      <c r="H331" s="11"/>
      <c r="I331" s="6" t="s">
        <v>33</v>
      </c>
    </row>
    <row r="332">
      <c r="A332" s="6" t="s">
        <v>150</v>
      </c>
      <c r="B332" s="9">
        <v>94.0</v>
      </c>
      <c r="C332" s="9">
        <v>1.57</v>
      </c>
      <c r="D332" s="6" t="s">
        <v>26</v>
      </c>
      <c r="E332" s="6" t="s">
        <v>223</v>
      </c>
      <c r="F332" s="6" t="s">
        <v>37</v>
      </c>
      <c r="G332" s="6" t="s">
        <v>38</v>
      </c>
      <c r="H332" s="9">
        <v>5.0</v>
      </c>
      <c r="I332" s="11"/>
    </row>
    <row r="333">
      <c r="A333" s="6" t="s">
        <v>150</v>
      </c>
      <c r="B333" s="9">
        <v>94.0</v>
      </c>
      <c r="C333" s="9">
        <v>1.57</v>
      </c>
      <c r="D333" s="6" t="s">
        <v>223</v>
      </c>
      <c r="E333" s="6" t="s">
        <v>224</v>
      </c>
      <c r="F333" s="6" t="s">
        <v>225</v>
      </c>
      <c r="G333" s="6" t="s">
        <v>49</v>
      </c>
      <c r="H333" s="9">
        <v>45.0</v>
      </c>
      <c r="I333" s="11"/>
    </row>
    <row r="334">
      <c r="A334" s="6" t="s">
        <v>150</v>
      </c>
      <c r="B334" s="9">
        <v>94.0</v>
      </c>
      <c r="C334" s="9">
        <v>1.57</v>
      </c>
      <c r="D334" s="6" t="s">
        <v>224</v>
      </c>
      <c r="E334" s="6" t="s">
        <v>228</v>
      </c>
      <c r="F334" s="6" t="s">
        <v>40</v>
      </c>
      <c r="G334" s="6" t="s">
        <v>29</v>
      </c>
      <c r="H334" s="11"/>
      <c r="I334" s="6" t="s">
        <v>33</v>
      </c>
    </row>
    <row r="335">
      <c r="A335" s="6" t="s">
        <v>150</v>
      </c>
      <c r="B335" s="9">
        <v>94.0</v>
      </c>
      <c r="C335" s="9">
        <v>1.57</v>
      </c>
      <c r="D335" s="6" t="s">
        <v>228</v>
      </c>
      <c r="E335" s="6" t="s">
        <v>199</v>
      </c>
      <c r="F335" s="6">
        <v>9.0</v>
      </c>
      <c r="G335" s="6" t="s">
        <v>49</v>
      </c>
      <c r="H335" s="9">
        <v>23.0</v>
      </c>
      <c r="I335" s="11"/>
    </row>
    <row r="336">
      <c r="A336" s="6" t="s">
        <v>150</v>
      </c>
      <c r="B336" s="9">
        <v>94.0</v>
      </c>
      <c r="C336" s="9">
        <v>1.57</v>
      </c>
      <c r="D336" s="6" t="s">
        <v>199</v>
      </c>
      <c r="E336" s="6" t="s">
        <v>202</v>
      </c>
      <c r="F336" s="6" t="s">
        <v>40</v>
      </c>
      <c r="G336" s="6" t="s">
        <v>29</v>
      </c>
      <c r="H336" s="11"/>
      <c r="I336" s="6" t="s">
        <v>33</v>
      </c>
    </row>
    <row r="337">
      <c r="A337" s="6" t="s">
        <v>150</v>
      </c>
      <c r="B337" s="9">
        <v>94.0</v>
      </c>
      <c r="C337" s="9">
        <v>1.57</v>
      </c>
      <c r="D337" s="6" t="s">
        <v>202</v>
      </c>
      <c r="E337" s="6" t="s">
        <v>52</v>
      </c>
      <c r="F337" s="6" t="s">
        <v>209</v>
      </c>
      <c r="G337" s="6" t="s">
        <v>49</v>
      </c>
      <c r="H337" s="9">
        <v>18.0</v>
      </c>
      <c r="I337" s="11"/>
    </row>
    <row r="338">
      <c r="A338" s="6" t="s">
        <v>150</v>
      </c>
      <c r="B338" s="9">
        <v>94.0</v>
      </c>
      <c r="C338" s="9">
        <v>1.57</v>
      </c>
      <c r="D338" s="6" t="s">
        <v>52</v>
      </c>
      <c r="E338" s="6" t="s">
        <v>53</v>
      </c>
      <c r="F338" s="6">
        <v>1.0</v>
      </c>
      <c r="G338" s="6" t="s">
        <v>49</v>
      </c>
      <c r="H338" s="9">
        <v>3.0</v>
      </c>
      <c r="I338" s="11"/>
    </row>
    <row r="339">
      <c r="A339" s="6" t="s">
        <v>150</v>
      </c>
      <c r="B339" s="9">
        <v>94.0</v>
      </c>
      <c r="C339" s="9">
        <v>1.57</v>
      </c>
      <c r="D339" s="6" t="s">
        <v>53</v>
      </c>
      <c r="E339" s="6" t="s">
        <v>53</v>
      </c>
      <c r="F339" s="6" t="s">
        <v>57</v>
      </c>
      <c r="G339" s="6" t="s">
        <v>29</v>
      </c>
      <c r="H339" s="11"/>
      <c r="I339" s="6" t="s">
        <v>33</v>
      </c>
    </row>
    <row r="340">
      <c r="A340" s="6" t="s">
        <v>153</v>
      </c>
      <c r="B340" s="9">
        <v>91.0</v>
      </c>
      <c r="C340" s="9">
        <v>1.52</v>
      </c>
      <c r="D340" s="6" t="s">
        <v>25</v>
      </c>
      <c r="E340" s="6" t="s">
        <v>26</v>
      </c>
      <c r="F340" s="6" t="s">
        <v>27</v>
      </c>
      <c r="G340" s="6" t="s">
        <v>29</v>
      </c>
      <c r="H340" s="11"/>
      <c r="I340" s="6" t="s">
        <v>33</v>
      </c>
    </row>
    <row r="341">
      <c r="A341" s="6" t="s">
        <v>153</v>
      </c>
      <c r="B341" s="9">
        <v>91.0</v>
      </c>
      <c r="C341" s="9">
        <v>1.52</v>
      </c>
      <c r="D341" s="6" t="s">
        <v>26</v>
      </c>
      <c r="E341" s="6" t="s">
        <v>223</v>
      </c>
      <c r="F341" s="6" t="s">
        <v>37</v>
      </c>
      <c r="G341" s="6" t="s">
        <v>38</v>
      </c>
      <c r="H341" s="9">
        <v>5.0</v>
      </c>
      <c r="I341" s="11"/>
    </row>
    <row r="342">
      <c r="A342" s="6" t="s">
        <v>153</v>
      </c>
      <c r="B342" s="9">
        <v>91.0</v>
      </c>
      <c r="C342" s="9">
        <v>1.52</v>
      </c>
      <c r="D342" s="6" t="s">
        <v>223</v>
      </c>
      <c r="E342" s="6" t="s">
        <v>224</v>
      </c>
      <c r="F342" s="6" t="s">
        <v>225</v>
      </c>
      <c r="G342" s="6" t="s">
        <v>49</v>
      </c>
      <c r="H342" s="9">
        <v>45.0</v>
      </c>
      <c r="I342" s="11"/>
    </row>
    <row r="343">
      <c r="A343" s="6" t="s">
        <v>153</v>
      </c>
      <c r="B343" s="9">
        <v>91.0</v>
      </c>
      <c r="C343" s="9">
        <v>1.52</v>
      </c>
      <c r="D343" s="6" t="s">
        <v>224</v>
      </c>
      <c r="E343" s="6" t="s">
        <v>228</v>
      </c>
      <c r="F343" s="6" t="s">
        <v>40</v>
      </c>
      <c r="G343" s="6" t="s">
        <v>29</v>
      </c>
      <c r="H343" s="11"/>
      <c r="I343" s="6" t="s">
        <v>33</v>
      </c>
    </row>
    <row r="344">
      <c r="A344" s="6" t="s">
        <v>153</v>
      </c>
      <c r="B344" s="9">
        <v>91.0</v>
      </c>
      <c r="C344" s="9">
        <v>1.52</v>
      </c>
      <c r="D344" s="6" t="s">
        <v>228</v>
      </c>
      <c r="E344" s="6" t="s">
        <v>199</v>
      </c>
      <c r="F344" s="6">
        <v>9.0</v>
      </c>
      <c r="G344" s="6" t="s">
        <v>49</v>
      </c>
      <c r="H344" s="9">
        <v>23.0</v>
      </c>
      <c r="I344" s="11"/>
    </row>
    <row r="345">
      <c r="A345" s="6" t="s">
        <v>153</v>
      </c>
      <c r="B345" s="9">
        <v>91.0</v>
      </c>
      <c r="C345" s="9">
        <v>1.52</v>
      </c>
      <c r="D345" s="6" t="s">
        <v>199</v>
      </c>
      <c r="E345" s="6" t="s">
        <v>202</v>
      </c>
      <c r="F345" s="6" t="s">
        <v>40</v>
      </c>
      <c r="G345" s="6" t="s">
        <v>29</v>
      </c>
      <c r="H345" s="11"/>
      <c r="I345" s="6" t="s">
        <v>33</v>
      </c>
    </row>
    <row r="346">
      <c r="A346" s="6" t="s">
        <v>153</v>
      </c>
      <c r="B346" s="9">
        <v>91.0</v>
      </c>
      <c r="C346" s="9">
        <v>1.52</v>
      </c>
      <c r="D346" s="6" t="s">
        <v>202</v>
      </c>
      <c r="E346" s="6" t="s">
        <v>115</v>
      </c>
      <c r="F346" s="6" t="s">
        <v>207</v>
      </c>
      <c r="G346" s="6" t="s">
        <v>49</v>
      </c>
      <c r="H346" s="9">
        <v>18.0</v>
      </c>
      <c r="I346" s="11"/>
    </row>
    <row r="347">
      <c r="A347" s="6" t="s">
        <v>153</v>
      </c>
      <c r="B347" s="9">
        <v>91.0</v>
      </c>
      <c r="C347" s="9">
        <v>1.52</v>
      </c>
      <c r="D347" s="6" t="s">
        <v>115</v>
      </c>
      <c r="E347" s="6" t="s">
        <v>53</v>
      </c>
      <c r="F347" s="6" t="s">
        <v>57</v>
      </c>
      <c r="G347" s="6" t="s">
        <v>29</v>
      </c>
      <c r="H347" s="11"/>
      <c r="I347" s="6" t="s">
        <v>33</v>
      </c>
    </row>
    <row r="348">
      <c r="A348" s="6" t="s">
        <v>156</v>
      </c>
      <c r="B348" s="9">
        <v>112.0</v>
      </c>
      <c r="C348" s="9">
        <v>1.87</v>
      </c>
      <c r="D348" s="6" t="s">
        <v>25</v>
      </c>
      <c r="E348" s="6" t="s">
        <v>26</v>
      </c>
      <c r="F348" s="6" t="s">
        <v>27</v>
      </c>
      <c r="G348" s="6" t="s">
        <v>29</v>
      </c>
      <c r="H348" s="11"/>
      <c r="I348" s="6" t="s">
        <v>33</v>
      </c>
    </row>
    <row r="349">
      <c r="A349" s="6" t="s">
        <v>156</v>
      </c>
      <c r="B349" s="9">
        <v>112.0</v>
      </c>
      <c r="C349" s="9">
        <v>1.87</v>
      </c>
      <c r="D349" s="6" t="s">
        <v>26</v>
      </c>
      <c r="E349" s="6" t="s">
        <v>223</v>
      </c>
      <c r="F349" s="6" t="s">
        <v>37</v>
      </c>
      <c r="G349" s="6" t="s">
        <v>38</v>
      </c>
      <c r="H349" s="9">
        <v>5.0</v>
      </c>
      <c r="I349" s="11"/>
    </row>
    <row r="350">
      <c r="A350" s="6" t="s">
        <v>156</v>
      </c>
      <c r="B350" s="9">
        <v>112.0</v>
      </c>
      <c r="C350" s="9">
        <v>1.87</v>
      </c>
      <c r="D350" s="6" t="s">
        <v>223</v>
      </c>
      <c r="E350" s="6" t="s">
        <v>224</v>
      </c>
      <c r="F350" s="6" t="s">
        <v>225</v>
      </c>
      <c r="G350" s="6" t="s">
        <v>49</v>
      </c>
      <c r="H350" s="9">
        <v>45.0</v>
      </c>
      <c r="I350" s="11"/>
    </row>
    <row r="351">
      <c r="A351" s="6" t="s">
        <v>156</v>
      </c>
      <c r="B351" s="9">
        <v>112.0</v>
      </c>
      <c r="C351" s="9">
        <v>1.87</v>
      </c>
      <c r="D351" s="6" t="s">
        <v>224</v>
      </c>
      <c r="E351" s="6" t="s">
        <v>228</v>
      </c>
      <c r="F351" s="6" t="s">
        <v>40</v>
      </c>
      <c r="G351" s="6" t="s">
        <v>29</v>
      </c>
      <c r="H351" s="11"/>
      <c r="I351" s="6" t="s">
        <v>33</v>
      </c>
    </row>
    <row r="352">
      <c r="A352" s="6" t="s">
        <v>156</v>
      </c>
      <c r="B352" s="9">
        <v>112.0</v>
      </c>
      <c r="C352" s="9">
        <v>1.87</v>
      </c>
      <c r="D352" s="6" t="s">
        <v>228</v>
      </c>
      <c r="E352" s="6" t="s">
        <v>210</v>
      </c>
      <c r="F352" s="6" t="s">
        <v>211</v>
      </c>
      <c r="G352" s="6" t="s">
        <v>49</v>
      </c>
      <c r="H352" s="9">
        <v>49.0</v>
      </c>
      <c r="I352" s="11"/>
    </row>
    <row r="353">
      <c r="A353" s="6" t="s">
        <v>156</v>
      </c>
      <c r="B353" s="9">
        <v>112.0</v>
      </c>
      <c r="C353" s="9">
        <v>1.87</v>
      </c>
      <c r="D353" s="6" t="s">
        <v>210</v>
      </c>
      <c r="E353" s="6" t="s">
        <v>53</v>
      </c>
      <c r="F353" s="6">
        <v>1.0</v>
      </c>
      <c r="G353" s="6" t="s">
        <v>49</v>
      </c>
      <c r="H353" s="9">
        <v>13.0</v>
      </c>
      <c r="I353" s="11"/>
    </row>
    <row r="354">
      <c r="A354" s="6" t="s">
        <v>156</v>
      </c>
      <c r="B354" s="9">
        <v>112.0</v>
      </c>
      <c r="C354" s="9">
        <v>1.87</v>
      </c>
      <c r="D354" s="6" t="s">
        <v>53</v>
      </c>
      <c r="E354" s="6" t="s">
        <v>53</v>
      </c>
      <c r="F354" s="6" t="s">
        <v>57</v>
      </c>
      <c r="G354" s="6" t="s">
        <v>29</v>
      </c>
      <c r="H354" s="11"/>
      <c r="I354" s="6" t="s">
        <v>33</v>
      </c>
    </row>
    <row r="355">
      <c r="A355" s="6" t="s">
        <v>158</v>
      </c>
      <c r="B355" s="9">
        <v>107.0</v>
      </c>
      <c r="C355" s="9">
        <v>1.78</v>
      </c>
      <c r="D355" s="6" t="s">
        <v>25</v>
      </c>
      <c r="E355" s="6" t="s">
        <v>26</v>
      </c>
      <c r="F355" s="6" t="s">
        <v>27</v>
      </c>
      <c r="G355" s="6" t="s">
        <v>29</v>
      </c>
      <c r="H355" s="11"/>
      <c r="I355" s="6" t="s">
        <v>33</v>
      </c>
    </row>
    <row r="356">
      <c r="A356" s="6" t="s">
        <v>158</v>
      </c>
      <c r="B356" s="9">
        <v>107.0</v>
      </c>
      <c r="C356" s="9">
        <v>1.78</v>
      </c>
      <c r="D356" s="6" t="s">
        <v>26</v>
      </c>
      <c r="E356" s="6" t="s">
        <v>223</v>
      </c>
      <c r="F356" s="6" t="s">
        <v>37</v>
      </c>
      <c r="G356" s="6" t="s">
        <v>38</v>
      </c>
      <c r="H356" s="9">
        <v>5.0</v>
      </c>
      <c r="I356" s="11"/>
    </row>
    <row r="357">
      <c r="A357" s="6" t="s">
        <v>158</v>
      </c>
      <c r="B357" s="9">
        <v>107.0</v>
      </c>
      <c r="C357" s="9">
        <v>1.78</v>
      </c>
      <c r="D357" s="6" t="s">
        <v>223</v>
      </c>
      <c r="E357" s="6" t="s">
        <v>224</v>
      </c>
      <c r="F357" s="6" t="s">
        <v>225</v>
      </c>
      <c r="G357" s="6" t="s">
        <v>49</v>
      </c>
      <c r="H357" s="9">
        <v>45.0</v>
      </c>
      <c r="I357" s="11"/>
    </row>
    <row r="358">
      <c r="A358" s="6" t="s">
        <v>158</v>
      </c>
      <c r="B358" s="9">
        <v>107.0</v>
      </c>
      <c r="C358" s="9">
        <v>1.78</v>
      </c>
      <c r="D358" s="6" t="s">
        <v>224</v>
      </c>
      <c r="E358" s="6" t="s">
        <v>228</v>
      </c>
      <c r="F358" s="6" t="s">
        <v>40</v>
      </c>
      <c r="G358" s="6" t="s">
        <v>29</v>
      </c>
      <c r="H358" s="11"/>
      <c r="I358" s="6" t="s">
        <v>33</v>
      </c>
    </row>
    <row r="359">
      <c r="A359" s="6" t="s">
        <v>158</v>
      </c>
      <c r="B359" s="9">
        <v>107.0</v>
      </c>
      <c r="C359" s="9">
        <v>1.78</v>
      </c>
      <c r="D359" s="6" t="s">
        <v>228</v>
      </c>
      <c r="E359" s="6" t="s">
        <v>215</v>
      </c>
      <c r="F359" s="6" t="s">
        <v>211</v>
      </c>
      <c r="G359" s="6" t="s">
        <v>49</v>
      </c>
      <c r="H359" s="9">
        <v>47.0</v>
      </c>
      <c r="I359" s="11"/>
    </row>
    <row r="360">
      <c r="A360" s="6" t="s">
        <v>158</v>
      </c>
      <c r="B360" s="9">
        <v>107.0</v>
      </c>
      <c r="C360" s="9">
        <v>1.78</v>
      </c>
      <c r="D360" s="6" t="s">
        <v>215</v>
      </c>
      <c r="E360" s="6" t="s">
        <v>53</v>
      </c>
      <c r="F360" s="6">
        <v>1.0</v>
      </c>
      <c r="G360" s="6" t="s">
        <v>49</v>
      </c>
      <c r="H360" s="9">
        <v>10.0</v>
      </c>
      <c r="I360" s="11"/>
    </row>
    <row r="361">
      <c r="A361" s="6" t="s">
        <v>158</v>
      </c>
      <c r="B361" s="9">
        <v>107.0</v>
      </c>
      <c r="C361" s="9">
        <v>1.78</v>
      </c>
      <c r="D361" s="6" t="s">
        <v>53</v>
      </c>
      <c r="E361" s="6" t="s">
        <v>53</v>
      </c>
      <c r="F361" s="6" t="s">
        <v>57</v>
      </c>
      <c r="G361" s="6" t="s">
        <v>29</v>
      </c>
      <c r="H361" s="11"/>
      <c r="I361" s="6" t="s">
        <v>33</v>
      </c>
    </row>
    <row r="362">
      <c r="A362" s="6" t="s">
        <v>160</v>
      </c>
      <c r="B362" s="9">
        <v>96.0</v>
      </c>
      <c r="C362" s="9">
        <v>1.6</v>
      </c>
      <c r="D362" s="6" t="s">
        <v>25</v>
      </c>
      <c r="E362" s="6" t="s">
        <v>26</v>
      </c>
      <c r="F362" s="6" t="s">
        <v>27</v>
      </c>
      <c r="G362" s="6" t="s">
        <v>29</v>
      </c>
      <c r="H362" s="11"/>
      <c r="I362" s="6" t="s">
        <v>33</v>
      </c>
    </row>
    <row r="363">
      <c r="A363" s="6" t="s">
        <v>160</v>
      </c>
      <c r="B363" s="9">
        <v>96.0</v>
      </c>
      <c r="C363" s="9">
        <v>1.6</v>
      </c>
      <c r="D363" s="6" t="s">
        <v>26</v>
      </c>
      <c r="E363" s="6" t="s">
        <v>223</v>
      </c>
      <c r="F363" s="6" t="s">
        <v>37</v>
      </c>
      <c r="G363" s="6" t="s">
        <v>38</v>
      </c>
      <c r="H363" s="9">
        <v>5.0</v>
      </c>
      <c r="I363" s="11"/>
    </row>
    <row r="364">
      <c r="A364" s="6" t="s">
        <v>160</v>
      </c>
      <c r="B364" s="9">
        <v>96.0</v>
      </c>
      <c r="C364" s="9">
        <v>1.6</v>
      </c>
      <c r="D364" s="6" t="s">
        <v>223</v>
      </c>
      <c r="E364" s="6" t="s">
        <v>224</v>
      </c>
      <c r="F364" s="6" t="s">
        <v>225</v>
      </c>
      <c r="G364" s="6" t="s">
        <v>49</v>
      </c>
      <c r="H364" s="9">
        <v>45.0</v>
      </c>
      <c r="I364" s="11"/>
    </row>
    <row r="365">
      <c r="A365" s="6" t="s">
        <v>160</v>
      </c>
      <c r="B365" s="9">
        <v>96.0</v>
      </c>
      <c r="C365" s="9">
        <v>1.6</v>
      </c>
      <c r="D365" s="6" t="s">
        <v>224</v>
      </c>
      <c r="E365" s="6" t="s">
        <v>228</v>
      </c>
      <c r="F365" s="6" t="s">
        <v>40</v>
      </c>
      <c r="G365" s="6" t="s">
        <v>29</v>
      </c>
      <c r="H365" s="11"/>
      <c r="I365" s="6" t="s">
        <v>33</v>
      </c>
    </row>
    <row r="366">
      <c r="A366" s="6" t="s">
        <v>160</v>
      </c>
      <c r="B366" s="9">
        <v>96.0</v>
      </c>
      <c r="C366" s="9">
        <v>1.6</v>
      </c>
      <c r="D366" s="6" t="s">
        <v>228</v>
      </c>
      <c r="E366" s="6" t="s">
        <v>183</v>
      </c>
      <c r="F366" s="6">
        <v>9.0</v>
      </c>
      <c r="G366" s="6" t="s">
        <v>49</v>
      </c>
      <c r="H366" s="9">
        <v>14.0</v>
      </c>
      <c r="I366" s="11"/>
    </row>
    <row r="367">
      <c r="A367" s="6" t="s">
        <v>160</v>
      </c>
      <c r="B367" s="9">
        <v>96.0</v>
      </c>
      <c r="C367" s="9">
        <v>1.6</v>
      </c>
      <c r="D367" s="6" t="s">
        <v>183</v>
      </c>
      <c r="E367" s="6" t="s">
        <v>52</v>
      </c>
      <c r="F367" s="6" t="s">
        <v>208</v>
      </c>
      <c r="G367" s="6" t="s">
        <v>49</v>
      </c>
      <c r="H367" s="9">
        <v>29.0</v>
      </c>
      <c r="I367" s="11"/>
    </row>
    <row r="368">
      <c r="A368" s="6" t="s">
        <v>160</v>
      </c>
      <c r="B368" s="9">
        <v>96.0</v>
      </c>
      <c r="C368" s="9">
        <v>1.6</v>
      </c>
      <c r="D368" s="6" t="s">
        <v>52</v>
      </c>
      <c r="E368" s="6" t="s">
        <v>53</v>
      </c>
      <c r="F368" s="6">
        <v>1.0</v>
      </c>
      <c r="G368" s="6" t="s">
        <v>49</v>
      </c>
      <c r="H368" s="9">
        <v>3.0</v>
      </c>
      <c r="I368" s="11"/>
    </row>
    <row r="369">
      <c r="A369" s="6" t="s">
        <v>160</v>
      </c>
      <c r="B369" s="9">
        <v>96.0</v>
      </c>
      <c r="C369" s="9">
        <v>1.6</v>
      </c>
      <c r="D369" s="6" t="s">
        <v>53</v>
      </c>
      <c r="E369" s="6" t="s">
        <v>53</v>
      </c>
      <c r="F369" s="6" t="s">
        <v>57</v>
      </c>
      <c r="G369" s="6" t="s">
        <v>29</v>
      </c>
      <c r="H369" s="11"/>
      <c r="I369" s="6" t="s">
        <v>33</v>
      </c>
    </row>
    <row r="370">
      <c r="A370" s="6" t="s">
        <v>162</v>
      </c>
      <c r="B370" s="9">
        <v>94.0</v>
      </c>
      <c r="C370" s="9">
        <v>1.57</v>
      </c>
      <c r="D370" s="6" t="s">
        <v>25</v>
      </c>
      <c r="E370" s="6" t="s">
        <v>26</v>
      </c>
      <c r="F370" s="6" t="s">
        <v>27</v>
      </c>
      <c r="G370" s="6" t="s">
        <v>29</v>
      </c>
      <c r="H370" s="11"/>
      <c r="I370" s="6" t="s">
        <v>33</v>
      </c>
    </row>
    <row r="371">
      <c r="A371" s="6" t="s">
        <v>162</v>
      </c>
      <c r="B371" s="9">
        <v>94.0</v>
      </c>
      <c r="C371" s="9">
        <v>1.57</v>
      </c>
      <c r="D371" s="6" t="s">
        <v>26</v>
      </c>
      <c r="E371" s="6" t="s">
        <v>223</v>
      </c>
      <c r="F371" s="6" t="s">
        <v>37</v>
      </c>
      <c r="G371" s="6" t="s">
        <v>38</v>
      </c>
      <c r="H371" s="9">
        <v>5.0</v>
      </c>
      <c r="I371" s="11"/>
    </row>
    <row r="372">
      <c r="A372" s="6" t="s">
        <v>162</v>
      </c>
      <c r="B372" s="9">
        <v>94.0</v>
      </c>
      <c r="C372" s="9">
        <v>1.57</v>
      </c>
      <c r="D372" s="6" t="s">
        <v>223</v>
      </c>
      <c r="E372" s="6" t="s">
        <v>224</v>
      </c>
      <c r="F372" s="6" t="s">
        <v>225</v>
      </c>
      <c r="G372" s="6" t="s">
        <v>49</v>
      </c>
      <c r="H372" s="9">
        <v>45.0</v>
      </c>
      <c r="I372" s="11"/>
    </row>
    <row r="373">
      <c r="A373" s="6" t="s">
        <v>162</v>
      </c>
      <c r="B373" s="9">
        <v>94.0</v>
      </c>
      <c r="C373" s="9">
        <v>1.57</v>
      </c>
      <c r="D373" s="6" t="s">
        <v>224</v>
      </c>
      <c r="E373" s="6" t="s">
        <v>228</v>
      </c>
      <c r="F373" s="6" t="s">
        <v>40</v>
      </c>
      <c r="G373" s="6" t="s">
        <v>29</v>
      </c>
      <c r="H373" s="11"/>
      <c r="I373" s="6" t="s">
        <v>33</v>
      </c>
    </row>
    <row r="374">
      <c r="A374" s="6" t="s">
        <v>162</v>
      </c>
      <c r="B374" s="9">
        <v>94.0</v>
      </c>
      <c r="C374" s="9">
        <v>1.57</v>
      </c>
      <c r="D374" s="6" t="s">
        <v>228</v>
      </c>
      <c r="E374" s="6" t="s">
        <v>216</v>
      </c>
      <c r="F374" s="6">
        <v>9.0</v>
      </c>
      <c r="G374" s="6" t="s">
        <v>49</v>
      </c>
      <c r="H374" s="9">
        <v>30.0</v>
      </c>
      <c r="I374" s="11"/>
    </row>
    <row r="375">
      <c r="A375" s="6" t="s">
        <v>162</v>
      </c>
      <c r="B375" s="9">
        <v>94.0</v>
      </c>
      <c r="C375" s="9">
        <v>1.57</v>
      </c>
      <c r="D375" s="6" t="s">
        <v>216</v>
      </c>
      <c r="E375" s="6" t="s">
        <v>217</v>
      </c>
      <c r="F375" s="6" t="s">
        <v>40</v>
      </c>
      <c r="G375" s="6" t="s">
        <v>29</v>
      </c>
      <c r="H375" s="11"/>
      <c r="I375" s="6" t="s">
        <v>33</v>
      </c>
    </row>
    <row r="376">
      <c r="A376" s="6" t="s">
        <v>162</v>
      </c>
      <c r="B376" s="9">
        <v>94.0</v>
      </c>
      <c r="C376" s="9">
        <v>1.57</v>
      </c>
      <c r="D376" s="6" t="s">
        <v>217</v>
      </c>
      <c r="E376" s="6" t="s">
        <v>218</v>
      </c>
      <c r="F376" s="6" t="s">
        <v>219</v>
      </c>
      <c r="G376" s="6" t="s">
        <v>49</v>
      </c>
      <c r="H376" s="9">
        <v>14.0</v>
      </c>
      <c r="I376" s="11"/>
    </row>
    <row r="377">
      <c r="A377" s="6" t="s">
        <v>162</v>
      </c>
      <c r="B377" s="9">
        <v>94.0</v>
      </c>
      <c r="C377" s="9">
        <v>1.57</v>
      </c>
      <c r="D377" s="6" t="s">
        <v>218</v>
      </c>
      <c r="E377" s="6" t="s">
        <v>53</v>
      </c>
      <c r="F377" s="6" t="s">
        <v>57</v>
      </c>
      <c r="G377" s="6" t="s">
        <v>29</v>
      </c>
      <c r="H377" s="11"/>
      <c r="I377" s="6" t="s">
        <v>33</v>
      </c>
    </row>
    <row r="378">
      <c r="A378" s="6" t="s">
        <v>167</v>
      </c>
      <c r="B378" s="9">
        <v>93.0</v>
      </c>
      <c r="C378" s="9">
        <v>1.55</v>
      </c>
      <c r="D378" s="6" t="s">
        <v>25</v>
      </c>
      <c r="E378" s="6" t="s">
        <v>26</v>
      </c>
      <c r="F378" s="6" t="s">
        <v>27</v>
      </c>
      <c r="G378" s="6" t="s">
        <v>29</v>
      </c>
      <c r="H378" s="11"/>
      <c r="I378" s="6" t="s">
        <v>33</v>
      </c>
    </row>
    <row r="379">
      <c r="A379" s="6" t="s">
        <v>167</v>
      </c>
      <c r="B379" s="9">
        <v>93.0</v>
      </c>
      <c r="C379" s="9">
        <v>1.55</v>
      </c>
      <c r="D379" s="6" t="s">
        <v>26</v>
      </c>
      <c r="E379" s="6" t="s">
        <v>223</v>
      </c>
      <c r="F379" s="6" t="s">
        <v>37</v>
      </c>
      <c r="G379" s="6" t="s">
        <v>38</v>
      </c>
      <c r="H379" s="9">
        <v>5.0</v>
      </c>
      <c r="I379" s="11"/>
    </row>
    <row r="380">
      <c r="A380" s="6" t="s">
        <v>167</v>
      </c>
      <c r="B380" s="9">
        <v>93.0</v>
      </c>
      <c r="C380" s="9">
        <v>1.55</v>
      </c>
      <c r="D380" s="6" t="s">
        <v>223</v>
      </c>
      <c r="E380" s="6" t="s">
        <v>224</v>
      </c>
      <c r="F380" s="6" t="s">
        <v>225</v>
      </c>
      <c r="G380" s="6" t="s">
        <v>49</v>
      </c>
      <c r="H380" s="9">
        <v>45.0</v>
      </c>
      <c r="I380" s="11"/>
    </row>
    <row r="381">
      <c r="A381" s="6" t="s">
        <v>167</v>
      </c>
      <c r="B381" s="9">
        <v>93.0</v>
      </c>
      <c r="C381" s="9">
        <v>1.55</v>
      </c>
      <c r="D381" s="6" t="s">
        <v>224</v>
      </c>
      <c r="E381" s="6" t="s">
        <v>228</v>
      </c>
      <c r="F381" s="6" t="s">
        <v>40</v>
      </c>
      <c r="G381" s="6" t="s">
        <v>29</v>
      </c>
      <c r="H381" s="11"/>
      <c r="I381" s="6" t="s">
        <v>33</v>
      </c>
    </row>
    <row r="382">
      <c r="A382" s="6" t="s">
        <v>167</v>
      </c>
      <c r="B382" s="9">
        <v>93.0</v>
      </c>
      <c r="C382" s="9">
        <v>1.55</v>
      </c>
      <c r="D382" s="6" t="s">
        <v>228</v>
      </c>
      <c r="E382" s="6" t="s">
        <v>39</v>
      </c>
      <c r="F382" s="6">
        <v>9.0</v>
      </c>
      <c r="G382" s="6" t="s">
        <v>49</v>
      </c>
      <c r="H382" s="9">
        <v>14.0</v>
      </c>
      <c r="I382" s="11"/>
    </row>
    <row r="383">
      <c r="A383" s="6" t="s">
        <v>167</v>
      </c>
      <c r="B383" s="9">
        <v>93.0</v>
      </c>
      <c r="C383" s="9">
        <v>1.55</v>
      </c>
      <c r="D383" s="6" t="s">
        <v>39</v>
      </c>
      <c r="E383" s="6" t="s">
        <v>221</v>
      </c>
      <c r="F383" s="6" t="s">
        <v>44</v>
      </c>
      <c r="G383" s="6" t="s">
        <v>45</v>
      </c>
      <c r="H383" s="9">
        <v>5.0</v>
      </c>
      <c r="I383" s="11"/>
    </row>
    <row r="384">
      <c r="A384" s="6" t="s">
        <v>167</v>
      </c>
      <c r="B384" s="9">
        <v>93.0</v>
      </c>
      <c r="C384" s="9">
        <v>1.55</v>
      </c>
      <c r="D384" s="6" t="s">
        <v>221</v>
      </c>
      <c r="E384" s="6" t="s">
        <v>186</v>
      </c>
      <c r="F384" s="6" t="s">
        <v>40</v>
      </c>
      <c r="G384" s="6" t="s">
        <v>29</v>
      </c>
      <c r="H384" s="11"/>
      <c r="I384" s="6" t="s">
        <v>33</v>
      </c>
    </row>
    <row r="385">
      <c r="A385" s="6" t="s">
        <v>167</v>
      </c>
      <c r="B385" s="9">
        <v>93.0</v>
      </c>
      <c r="C385" s="9">
        <v>1.55</v>
      </c>
      <c r="D385" s="6" t="s">
        <v>186</v>
      </c>
      <c r="E385" s="6" t="s">
        <v>189</v>
      </c>
      <c r="F385" s="6" t="s">
        <v>190</v>
      </c>
      <c r="G385" s="6" t="s">
        <v>49</v>
      </c>
      <c r="H385" s="9">
        <v>21.0</v>
      </c>
      <c r="I385" s="11"/>
    </row>
    <row r="386">
      <c r="A386" s="6" t="s">
        <v>167</v>
      </c>
      <c r="B386" s="9">
        <v>93.0</v>
      </c>
      <c r="C386" s="9">
        <v>1.55</v>
      </c>
      <c r="D386" s="6" t="s">
        <v>189</v>
      </c>
      <c r="E386" s="6" t="s">
        <v>52</v>
      </c>
      <c r="F386" s="6" t="s">
        <v>40</v>
      </c>
      <c r="G386" s="6" t="s">
        <v>29</v>
      </c>
      <c r="H386" s="11"/>
      <c r="I386" s="6" t="s">
        <v>33</v>
      </c>
    </row>
    <row r="387">
      <c r="A387" s="6" t="s">
        <v>167</v>
      </c>
      <c r="B387" s="9">
        <v>93.0</v>
      </c>
      <c r="C387" s="9">
        <v>1.55</v>
      </c>
      <c r="D387" s="6" t="s">
        <v>52</v>
      </c>
      <c r="E387" s="6" t="s">
        <v>53</v>
      </c>
      <c r="F387" s="6">
        <v>1.0</v>
      </c>
      <c r="G387" s="6" t="s">
        <v>49</v>
      </c>
      <c r="H387" s="9">
        <v>3.0</v>
      </c>
      <c r="I387" s="11"/>
    </row>
    <row r="388">
      <c r="A388" s="6" t="s">
        <v>167</v>
      </c>
      <c r="B388" s="9">
        <v>93.0</v>
      </c>
      <c r="C388" s="9">
        <v>1.55</v>
      </c>
      <c r="D388" s="6" t="s">
        <v>53</v>
      </c>
      <c r="E388" s="6" t="s">
        <v>53</v>
      </c>
      <c r="F388" s="6" t="s">
        <v>57</v>
      </c>
      <c r="G388" s="6" t="s">
        <v>29</v>
      </c>
      <c r="H388" s="11"/>
      <c r="I388" s="6" t="s">
        <v>33</v>
      </c>
    </row>
    <row r="389">
      <c r="A389" s="6" t="s">
        <v>169</v>
      </c>
      <c r="B389" s="9">
        <v>97.0</v>
      </c>
      <c r="C389" s="9">
        <v>1.62</v>
      </c>
      <c r="D389" s="6" t="s">
        <v>25</v>
      </c>
      <c r="E389" s="6" t="s">
        <v>26</v>
      </c>
      <c r="F389" s="6" t="s">
        <v>27</v>
      </c>
      <c r="G389" s="6" t="s">
        <v>29</v>
      </c>
      <c r="H389" s="11"/>
      <c r="I389" s="6" t="s">
        <v>33</v>
      </c>
    </row>
    <row r="390">
      <c r="A390" s="6" t="s">
        <v>169</v>
      </c>
      <c r="B390" s="9">
        <v>97.0</v>
      </c>
      <c r="C390" s="9">
        <v>1.62</v>
      </c>
      <c r="D390" s="6" t="s">
        <v>26</v>
      </c>
      <c r="E390" s="6" t="s">
        <v>223</v>
      </c>
      <c r="F390" s="6" t="s">
        <v>37</v>
      </c>
      <c r="G390" s="6" t="s">
        <v>38</v>
      </c>
      <c r="H390" s="9">
        <v>5.0</v>
      </c>
      <c r="I390" s="11"/>
    </row>
    <row r="391">
      <c r="A391" s="6" t="s">
        <v>169</v>
      </c>
      <c r="B391" s="9">
        <v>97.0</v>
      </c>
      <c r="C391" s="9">
        <v>1.62</v>
      </c>
      <c r="D391" s="6" t="s">
        <v>223</v>
      </c>
      <c r="E391" s="6" t="s">
        <v>224</v>
      </c>
      <c r="F391" s="6" t="s">
        <v>225</v>
      </c>
      <c r="G391" s="6" t="s">
        <v>49</v>
      </c>
      <c r="H391" s="9">
        <v>45.0</v>
      </c>
      <c r="I391" s="11"/>
    </row>
    <row r="392">
      <c r="A392" s="6" t="s">
        <v>169</v>
      </c>
      <c r="B392" s="9">
        <v>97.0</v>
      </c>
      <c r="C392" s="9">
        <v>1.62</v>
      </c>
      <c r="D392" s="6" t="s">
        <v>224</v>
      </c>
      <c r="E392" s="6" t="s">
        <v>228</v>
      </c>
      <c r="F392" s="6" t="s">
        <v>40</v>
      </c>
      <c r="G392" s="6" t="s">
        <v>29</v>
      </c>
      <c r="H392" s="11"/>
      <c r="I392" s="6" t="s">
        <v>33</v>
      </c>
    </row>
    <row r="393">
      <c r="A393" s="6" t="s">
        <v>169</v>
      </c>
      <c r="B393" s="9">
        <v>97.0</v>
      </c>
      <c r="C393" s="9">
        <v>1.62</v>
      </c>
      <c r="D393" s="6" t="s">
        <v>228</v>
      </c>
      <c r="E393" s="6" t="s">
        <v>39</v>
      </c>
      <c r="F393" s="6">
        <v>9.0</v>
      </c>
      <c r="G393" s="6" t="s">
        <v>49</v>
      </c>
      <c r="H393" s="9">
        <v>14.0</v>
      </c>
      <c r="I393" s="11"/>
    </row>
    <row r="394">
      <c r="A394" s="6" t="s">
        <v>169</v>
      </c>
      <c r="B394" s="9">
        <v>97.0</v>
      </c>
      <c r="C394" s="9">
        <v>1.62</v>
      </c>
      <c r="D394" s="6" t="s">
        <v>39</v>
      </c>
      <c r="E394" s="6" t="s">
        <v>221</v>
      </c>
      <c r="F394" s="6" t="s">
        <v>44</v>
      </c>
      <c r="G394" s="6" t="s">
        <v>45</v>
      </c>
      <c r="H394" s="9">
        <v>5.0</v>
      </c>
      <c r="I394" s="11"/>
    </row>
    <row r="395">
      <c r="A395" s="6" t="s">
        <v>169</v>
      </c>
      <c r="B395" s="9">
        <v>97.0</v>
      </c>
      <c r="C395" s="9">
        <v>1.62</v>
      </c>
      <c r="D395" s="6" t="s">
        <v>221</v>
      </c>
      <c r="E395" s="6" t="s">
        <v>186</v>
      </c>
      <c r="F395" s="6" t="s">
        <v>40</v>
      </c>
      <c r="G395" s="6" t="s">
        <v>29</v>
      </c>
      <c r="H395" s="11"/>
      <c r="I395" s="6" t="s">
        <v>33</v>
      </c>
    </row>
    <row r="396">
      <c r="A396" s="6" t="s">
        <v>169</v>
      </c>
      <c r="B396" s="9">
        <v>97.0</v>
      </c>
      <c r="C396" s="9">
        <v>1.62</v>
      </c>
      <c r="D396" s="6" t="s">
        <v>186</v>
      </c>
      <c r="E396" s="6" t="s">
        <v>203</v>
      </c>
      <c r="F396" s="6" t="s">
        <v>204</v>
      </c>
      <c r="G396" s="6" t="s">
        <v>49</v>
      </c>
      <c r="H396" s="9">
        <v>7.0</v>
      </c>
      <c r="I396" s="11"/>
    </row>
    <row r="397">
      <c r="A397" s="6" t="s">
        <v>169</v>
      </c>
      <c r="B397" s="9">
        <v>97.0</v>
      </c>
      <c r="C397" s="9">
        <v>1.62</v>
      </c>
      <c r="D397" s="6" t="s">
        <v>203</v>
      </c>
      <c r="E397" s="6" t="s">
        <v>202</v>
      </c>
      <c r="F397" s="6" t="s">
        <v>40</v>
      </c>
      <c r="G397" s="6" t="s">
        <v>29</v>
      </c>
      <c r="H397" s="11"/>
      <c r="I397" s="6" t="s">
        <v>33</v>
      </c>
    </row>
    <row r="398">
      <c r="A398" s="6" t="s">
        <v>169</v>
      </c>
      <c r="B398" s="9">
        <v>97.0</v>
      </c>
      <c r="C398" s="9">
        <v>1.62</v>
      </c>
      <c r="D398" s="6" t="s">
        <v>202</v>
      </c>
      <c r="E398" s="6" t="s">
        <v>52</v>
      </c>
      <c r="F398" s="6" t="s">
        <v>209</v>
      </c>
      <c r="G398" s="6" t="s">
        <v>49</v>
      </c>
      <c r="H398" s="9">
        <v>18.0</v>
      </c>
      <c r="I398" s="11"/>
    </row>
    <row r="399">
      <c r="A399" s="6" t="s">
        <v>169</v>
      </c>
      <c r="B399" s="9">
        <v>97.0</v>
      </c>
      <c r="C399" s="9">
        <v>1.62</v>
      </c>
      <c r="D399" s="6" t="s">
        <v>52</v>
      </c>
      <c r="E399" s="6" t="s">
        <v>53</v>
      </c>
      <c r="F399" s="6">
        <v>1.0</v>
      </c>
      <c r="G399" s="6" t="s">
        <v>49</v>
      </c>
      <c r="H399" s="9">
        <v>3.0</v>
      </c>
      <c r="I399" s="11"/>
    </row>
    <row r="400">
      <c r="A400" s="6" t="s">
        <v>169</v>
      </c>
      <c r="B400" s="9">
        <v>97.0</v>
      </c>
      <c r="C400" s="9">
        <v>1.62</v>
      </c>
      <c r="D400" s="6" t="s">
        <v>53</v>
      </c>
      <c r="E400" s="6" t="s">
        <v>53</v>
      </c>
      <c r="F400" s="6" t="s">
        <v>57</v>
      </c>
      <c r="G400" s="6" t="s">
        <v>29</v>
      </c>
      <c r="H400" s="11"/>
      <c r="I400" s="6" t="s">
        <v>33</v>
      </c>
    </row>
    <row r="401">
      <c r="A401" s="6" t="s">
        <v>171</v>
      </c>
      <c r="B401" s="9">
        <v>43.0</v>
      </c>
      <c r="C401" s="9">
        <v>0.72</v>
      </c>
      <c r="D401" s="6" t="s">
        <v>25</v>
      </c>
      <c r="E401" s="6" t="s">
        <v>26</v>
      </c>
      <c r="F401" s="6" t="s">
        <v>27</v>
      </c>
      <c r="G401" s="6" t="s">
        <v>29</v>
      </c>
      <c r="H401" s="11"/>
      <c r="I401" s="6" t="s">
        <v>33</v>
      </c>
    </row>
    <row r="402">
      <c r="A402" s="6" t="s">
        <v>171</v>
      </c>
      <c r="B402" s="9">
        <v>43.0</v>
      </c>
      <c r="C402" s="9">
        <v>0.72</v>
      </c>
      <c r="D402" s="6" t="s">
        <v>26</v>
      </c>
      <c r="E402" s="6" t="s">
        <v>285</v>
      </c>
      <c r="F402" s="6" t="s">
        <v>37</v>
      </c>
      <c r="G402" s="6" t="s">
        <v>38</v>
      </c>
      <c r="H402" s="9">
        <v>21.0</v>
      </c>
      <c r="I402" s="11"/>
    </row>
    <row r="403">
      <c r="A403" s="6" t="s">
        <v>171</v>
      </c>
      <c r="B403" s="9">
        <v>43.0</v>
      </c>
      <c r="C403" s="9">
        <v>0.72</v>
      </c>
      <c r="D403" s="6" t="s">
        <v>285</v>
      </c>
      <c r="E403" s="6" t="s">
        <v>286</v>
      </c>
      <c r="F403" s="6" t="s">
        <v>40</v>
      </c>
      <c r="G403" s="6" t="s">
        <v>29</v>
      </c>
      <c r="H403" s="11"/>
      <c r="I403" s="6" t="s">
        <v>33</v>
      </c>
    </row>
    <row r="404">
      <c r="A404" s="6" t="s">
        <v>171</v>
      </c>
      <c r="B404" s="9">
        <v>43.0</v>
      </c>
      <c r="C404" s="9">
        <v>0.72</v>
      </c>
      <c r="D404" s="6" t="s">
        <v>286</v>
      </c>
      <c r="E404" s="6" t="s">
        <v>216</v>
      </c>
      <c r="F404" s="6" t="s">
        <v>204</v>
      </c>
      <c r="G404" s="6" t="s">
        <v>49</v>
      </c>
      <c r="H404" s="9">
        <v>5.0</v>
      </c>
      <c r="I404" s="11"/>
    </row>
    <row r="405">
      <c r="A405" s="6" t="s">
        <v>171</v>
      </c>
      <c r="B405" s="9">
        <v>43.0</v>
      </c>
      <c r="C405" s="9">
        <v>0.72</v>
      </c>
      <c r="D405" s="6" t="s">
        <v>216</v>
      </c>
      <c r="E405" s="6" t="s">
        <v>213</v>
      </c>
      <c r="F405" s="6">
        <v>9.0</v>
      </c>
      <c r="G405" s="6" t="s">
        <v>49</v>
      </c>
      <c r="H405" s="9">
        <v>8.0</v>
      </c>
      <c r="I405" s="11"/>
    </row>
    <row r="406">
      <c r="A406" s="6" t="s">
        <v>171</v>
      </c>
      <c r="B406" s="9">
        <v>43.0</v>
      </c>
      <c r="C406" s="9">
        <v>0.72</v>
      </c>
      <c r="D406" s="6" t="s">
        <v>213</v>
      </c>
      <c r="E406" s="6" t="s">
        <v>214</v>
      </c>
      <c r="F406" s="6" t="s">
        <v>40</v>
      </c>
      <c r="G406" s="6" t="s">
        <v>29</v>
      </c>
      <c r="H406" s="11"/>
      <c r="I406" s="6" t="s">
        <v>33</v>
      </c>
    </row>
    <row r="407">
      <c r="A407" s="6" t="s">
        <v>171</v>
      </c>
      <c r="B407" s="9">
        <v>43.0</v>
      </c>
      <c r="C407" s="9">
        <v>0.72</v>
      </c>
      <c r="D407" s="6" t="s">
        <v>214</v>
      </c>
      <c r="E407" s="6" t="s">
        <v>69</v>
      </c>
      <c r="F407" s="6" t="s">
        <v>71</v>
      </c>
      <c r="G407" s="6" t="s">
        <v>73</v>
      </c>
      <c r="H407" s="9">
        <v>9.0</v>
      </c>
      <c r="I407" s="11"/>
    </row>
    <row r="408">
      <c r="A408" s="6" t="s">
        <v>171</v>
      </c>
      <c r="B408" s="9">
        <v>43.0</v>
      </c>
      <c r="C408" s="9">
        <v>0.72</v>
      </c>
      <c r="D408" s="6" t="s">
        <v>69</v>
      </c>
      <c r="E408" s="6" t="s">
        <v>53</v>
      </c>
      <c r="F408" s="6" t="s">
        <v>57</v>
      </c>
      <c r="G408" s="6" t="s">
        <v>29</v>
      </c>
      <c r="H408" s="11"/>
      <c r="I408" s="6" t="s">
        <v>33</v>
      </c>
    </row>
    <row r="409">
      <c r="A409" s="6" t="s">
        <v>174</v>
      </c>
      <c r="B409" s="9">
        <v>104.0</v>
      </c>
      <c r="C409" s="9">
        <v>1.73</v>
      </c>
      <c r="D409" s="6" t="s">
        <v>25</v>
      </c>
      <c r="E409" s="6" t="s">
        <v>26</v>
      </c>
      <c r="F409" s="6" t="s">
        <v>27</v>
      </c>
      <c r="G409" s="6" t="s">
        <v>29</v>
      </c>
      <c r="H409" s="11"/>
      <c r="I409" s="6" t="s">
        <v>33</v>
      </c>
    </row>
    <row r="410">
      <c r="A410" s="6" t="s">
        <v>174</v>
      </c>
      <c r="B410" s="9">
        <v>104.0</v>
      </c>
      <c r="C410" s="9">
        <v>1.73</v>
      </c>
      <c r="D410" s="6" t="s">
        <v>26</v>
      </c>
      <c r="E410" s="6" t="s">
        <v>223</v>
      </c>
      <c r="F410" s="6" t="s">
        <v>37</v>
      </c>
      <c r="G410" s="6" t="s">
        <v>38</v>
      </c>
      <c r="H410" s="9">
        <v>5.0</v>
      </c>
      <c r="I410" s="11"/>
    </row>
    <row r="411">
      <c r="A411" s="6" t="s">
        <v>174</v>
      </c>
      <c r="B411" s="9">
        <v>104.0</v>
      </c>
      <c r="C411" s="9">
        <v>1.73</v>
      </c>
      <c r="D411" s="6" t="s">
        <v>223</v>
      </c>
      <c r="E411" s="6" t="s">
        <v>224</v>
      </c>
      <c r="F411" s="6" t="s">
        <v>225</v>
      </c>
      <c r="G411" s="6" t="s">
        <v>49</v>
      </c>
      <c r="H411" s="9">
        <v>45.0</v>
      </c>
      <c r="I411" s="11"/>
    </row>
    <row r="412">
      <c r="A412" s="6" t="s">
        <v>174</v>
      </c>
      <c r="B412" s="9">
        <v>104.0</v>
      </c>
      <c r="C412" s="9">
        <v>1.73</v>
      </c>
      <c r="D412" s="6" t="s">
        <v>224</v>
      </c>
      <c r="E412" s="6" t="s">
        <v>228</v>
      </c>
      <c r="F412" s="6" t="s">
        <v>40</v>
      </c>
      <c r="G412" s="6" t="s">
        <v>29</v>
      </c>
      <c r="H412" s="11"/>
      <c r="I412" s="6" t="s">
        <v>33</v>
      </c>
    </row>
    <row r="413">
      <c r="A413" s="6" t="s">
        <v>174</v>
      </c>
      <c r="B413" s="9">
        <v>104.0</v>
      </c>
      <c r="C413" s="9">
        <v>1.73</v>
      </c>
      <c r="D413" s="6" t="s">
        <v>228</v>
      </c>
      <c r="E413" s="6" t="s">
        <v>39</v>
      </c>
      <c r="F413" s="6">
        <v>9.0</v>
      </c>
      <c r="G413" s="6" t="s">
        <v>49</v>
      </c>
      <c r="H413" s="9">
        <v>14.0</v>
      </c>
      <c r="I413" s="11"/>
    </row>
    <row r="414">
      <c r="A414" s="6" t="s">
        <v>174</v>
      </c>
      <c r="B414" s="9">
        <v>104.0</v>
      </c>
      <c r="C414" s="9">
        <v>1.73</v>
      </c>
      <c r="D414" s="6" t="s">
        <v>39</v>
      </c>
      <c r="E414" s="6" t="s">
        <v>221</v>
      </c>
      <c r="F414" s="6" t="s">
        <v>44</v>
      </c>
      <c r="G414" s="6" t="s">
        <v>45</v>
      </c>
      <c r="H414" s="9">
        <v>5.0</v>
      </c>
      <c r="I414" s="11"/>
    </row>
    <row r="415">
      <c r="A415" s="6" t="s">
        <v>174</v>
      </c>
      <c r="B415" s="9">
        <v>104.0</v>
      </c>
      <c r="C415" s="9">
        <v>1.73</v>
      </c>
      <c r="D415" s="6" t="s">
        <v>221</v>
      </c>
      <c r="E415" s="6" t="s">
        <v>186</v>
      </c>
      <c r="F415" s="6" t="s">
        <v>40</v>
      </c>
      <c r="G415" s="6" t="s">
        <v>29</v>
      </c>
      <c r="H415" s="11"/>
      <c r="I415" s="6" t="s">
        <v>33</v>
      </c>
    </row>
    <row r="416">
      <c r="A416" s="6" t="s">
        <v>174</v>
      </c>
      <c r="B416" s="9">
        <v>104.0</v>
      </c>
      <c r="C416" s="9">
        <v>1.73</v>
      </c>
      <c r="D416" s="6" t="s">
        <v>186</v>
      </c>
      <c r="E416" s="6" t="s">
        <v>52</v>
      </c>
      <c r="F416" s="6" t="s">
        <v>208</v>
      </c>
      <c r="G416" s="6" t="s">
        <v>49</v>
      </c>
      <c r="H416" s="9">
        <v>32.0</v>
      </c>
      <c r="I416" s="11"/>
    </row>
    <row r="417">
      <c r="A417" s="6" t="s">
        <v>174</v>
      </c>
      <c r="B417" s="9">
        <v>104.0</v>
      </c>
      <c r="C417" s="9">
        <v>1.73</v>
      </c>
      <c r="D417" s="6" t="s">
        <v>52</v>
      </c>
      <c r="E417" s="6" t="s">
        <v>53</v>
      </c>
      <c r="F417" s="6">
        <v>1.0</v>
      </c>
      <c r="G417" s="6" t="s">
        <v>49</v>
      </c>
      <c r="H417" s="9">
        <v>3.0</v>
      </c>
      <c r="I417" s="11"/>
    </row>
    <row r="418">
      <c r="A418" s="6" t="s">
        <v>174</v>
      </c>
      <c r="B418" s="9">
        <v>104.0</v>
      </c>
      <c r="C418" s="9">
        <v>1.73</v>
      </c>
      <c r="D418" s="6" t="s">
        <v>53</v>
      </c>
      <c r="E418" s="6" t="s">
        <v>53</v>
      </c>
      <c r="F418" s="6" t="s">
        <v>57</v>
      </c>
      <c r="G418" s="6" t="s">
        <v>29</v>
      </c>
      <c r="H418" s="11"/>
      <c r="I418" s="6" t="s">
        <v>33</v>
      </c>
    </row>
    <row r="419">
      <c r="A419" s="6" t="s">
        <v>177</v>
      </c>
      <c r="B419" s="9">
        <v>103.0</v>
      </c>
      <c r="C419" s="9">
        <v>1.72</v>
      </c>
      <c r="D419" s="6" t="s">
        <v>25</v>
      </c>
      <c r="E419" s="6" t="s">
        <v>26</v>
      </c>
      <c r="F419" s="6" t="s">
        <v>27</v>
      </c>
      <c r="G419" s="6" t="s">
        <v>29</v>
      </c>
      <c r="H419" s="11"/>
      <c r="I419" s="6" t="s">
        <v>33</v>
      </c>
    </row>
    <row r="420">
      <c r="A420" s="6" t="s">
        <v>177</v>
      </c>
      <c r="B420" s="9">
        <v>103.0</v>
      </c>
      <c r="C420" s="9">
        <v>1.72</v>
      </c>
      <c r="D420" s="6" t="s">
        <v>26</v>
      </c>
      <c r="E420" s="6" t="s">
        <v>223</v>
      </c>
      <c r="F420" s="6" t="s">
        <v>37</v>
      </c>
      <c r="G420" s="6" t="s">
        <v>38</v>
      </c>
      <c r="H420" s="9">
        <v>5.0</v>
      </c>
      <c r="I420" s="11"/>
    </row>
    <row r="421">
      <c r="A421" s="6" t="s">
        <v>177</v>
      </c>
      <c r="B421" s="9">
        <v>103.0</v>
      </c>
      <c r="C421" s="9">
        <v>1.72</v>
      </c>
      <c r="D421" s="6" t="s">
        <v>223</v>
      </c>
      <c r="E421" s="6" t="s">
        <v>224</v>
      </c>
      <c r="F421" s="6" t="s">
        <v>225</v>
      </c>
      <c r="G421" s="6" t="s">
        <v>49</v>
      </c>
      <c r="H421" s="9">
        <v>45.0</v>
      </c>
      <c r="I421" s="11"/>
    </row>
    <row r="422">
      <c r="A422" s="6" t="s">
        <v>177</v>
      </c>
      <c r="B422" s="9">
        <v>103.0</v>
      </c>
      <c r="C422" s="9">
        <v>1.72</v>
      </c>
      <c r="D422" s="6" t="s">
        <v>224</v>
      </c>
      <c r="E422" s="6" t="s">
        <v>228</v>
      </c>
      <c r="F422" s="6" t="s">
        <v>40</v>
      </c>
      <c r="G422" s="6" t="s">
        <v>29</v>
      </c>
      <c r="H422" s="11"/>
      <c r="I422" s="6" t="s">
        <v>33</v>
      </c>
    </row>
    <row r="423">
      <c r="A423" s="6" t="s">
        <v>177</v>
      </c>
      <c r="B423" s="9">
        <v>103.0</v>
      </c>
      <c r="C423" s="9">
        <v>1.72</v>
      </c>
      <c r="D423" s="6" t="s">
        <v>228</v>
      </c>
      <c r="E423" s="6" t="s">
        <v>39</v>
      </c>
      <c r="F423" s="6">
        <v>9.0</v>
      </c>
      <c r="G423" s="6" t="s">
        <v>49</v>
      </c>
      <c r="H423" s="9">
        <v>14.0</v>
      </c>
      <c r="I423" s="11"/>
    </row>
    <row r="424">
      <c r="A424" s="6" t="s">
        <v>177</v>
      </c>
      <c r="B424" s="9">
        <v>103.0</v>
      </c>
      <c r="C424" s="9">
        <v>1.72</v>
      </c>
      <c r="D424" s="6" t="s">
        <v>39</v>
      </c>
      <c r="E424" s="6" t="s">
        <v>221</v>
      </c>
      <c r="F424" s="6" t="s">
        <v>44</v>
      </c>
      <c r="G424" s="6" t="s">
        <v>45</v>
      </c>
      <c r="H424" s="9">
        <v>5.0</v>
      </c>
      <c r="I424" s="11"/>
    </row>
    <row r="425">
      <c r="A425" s="6" t="s">
        <v>177</v>
      </c>
      <c r="B425" s="9">
        <v>103.0</v>
      </c>
      <c r="C425" s="9">
        <v>1.72</v>
      </c>
      <c r="D425" s="6" t="s">
        <v>221</v>
      </c>
      <c r="E425" s="6" t="s">
        <v>186</v>
      </c>
      <c r="F425" s="6" t="s">
        <v>40</v>
      </c>
      <c r="G425" s="6" t="s">
        <v>29</v>
      </c>
      <c r="H425" s="11"/>
      <c r="I425" s="6" t="s">
        <v>33</v>
      </c>
    </row>
    <row r="426">
      <c r="A426" s="6" t="s">
        <v>177</v>
      </c>
      <c r="B426" s="9">
        <v>103.0</v>
      </c>
      <c r="C426" s="9">
        <v>1.72</v>
      </c>
      <c r="D426" s="6" t="s">
        <v>186</v>
      </c>
      <c r="E426" s="6" t="s">
        <v>199</v>
      </c>
      <c r="F426" s="6">
        <v>9.0</v>
      </c>
      <c r="G426" s="6" t="s">
        <v>49</v>
      </c>
      <c r="H426" s="9">
        <v>13.0</v>
      </c>
      <c r="I426" s="11"/>
    </row>
    <row r="427">
      <c r="A427" s="6" t="s">
        <v>177</v>
      </c>
      <c r="B427" s="9">
        <v>103.0</v>
      </c>
      <c r="C427" s="9">
        <v>1.72</v>
      </c>
      <c r="D427" s="6" t="s">
        <v>199</v>
      </c>
      <c r="E427" s="6" t="s">
        <v>202</v>
      </c>
      <c r="F427" s="6" t="s">
        <v>40</v>
      </c>
      <c r="G427" s="6" t="s">
        <v>29</v>
      </c>
      <c r="H427" s="11"/>
      <c r="I427" s="6" t="s">
        <v>33</v>
      </c>
    </row>
    <row r="428">
      <c r="A428" s="6" t="s">
        <v>177</v>
      </c>
      <c r="B428" s="9">
        <v>103.0</v>
      </c>
      <c r="C428" s="9">
        <v>1.72</v>
      </c>
      <c r="D428" s="6" t="s">
        <v>202</v>
      </c>
      <c r="E428" s="6" t="s">
        <v>52</v>
      </c>
      <c r="F428" s="6" t="s">
        <v>209</v>
      </c>
      <c r="G428" s="6" t="s">
        <v>49</v>
      </c>
      <c r="H428" s="9">
        <v>18.0</v>
      </c>
      <c r="I428" s="11"/>
    </row>
    <row r="429">
      <c r="A429" s="6" t="s">
        <v>177</v>
      </c>
      <c r="B429" s="9">
        <v>103.0</v>
      </c>
      <c r="C429" s="9">
        <v>1.72</v>
      </c>
      <c r="D429" s="6" t="s">
        <v>52</v>
      </c>
      <c r="E429" s="6" t="s">
        <v>53</v>
      </c>
      <c r="F429" s="6">
        <v>1.0</v>
      </c>
      <c r="G429" s="6" t="s">
        <v>49</v>
      </c>
      <c r="H429" s="9">
        <v>3.0</v>
      </c>
      <c r="I429" s="11"/>
    </row>
    <row r="430">
      <c r="A430" s="6" t="s">
        <v>177</v>
      </c>
      <c r="B430" s="9">
        <v>103.0</v>
      </c>
      <c r="C430" s="9">
        <v>1.72</v>
      </c>
      <c r="D430" s="6" t="s">
        <v>53</v>
      </c>
      <c r="E430" s="6" t="s">
        <v>53</v>
      </c>
      <c r="F430" s="6" t="s">
        <v>57</v>
      </c>
      <c r="G430" s="6" t="s">
        <v>29</v>
      </c>
      <c r="H430" s="11"/>
      <c r="I430" s="6" t="s">
        <v>33</v>
      </c>
    </row>
    <row r="431">
      <c r="A431" s="6" t="s">
        <v>179</v>
      </c>
      <c r="B431" s="9">
        <v>100.0</v>
      </c>
      <c r="C431" s="9">
        <v>1.67</v>
      </c>
      <c r="D431" s="6" t="s">
        <v>25</v>
      </c>
      <c r="E431" s="6" t="s">
        <v>26</v>
      </c>
      <c r="F431" s="6" t="s">
        <v>27</v>
      </c>
      <c r="G431" s="6" t="s">
        <v>29</v>
      </c>
      <c r="H431" s="11"/>
      <c r="I431" s="6" t="s">
        <v>33</v>
      </c>
    </row>
    <row r="432">
      <c r="A432" s="6" t="s">
        <v>179</v>
      </c>
      <c r="B432" s="9">
        <v>100.0</v>
      </c>
      <c r="C432" s="9">
        <v>1.67</v>
      </c>
      <c r="D432" s="6" t="s">
        <v>26</v>
      </c>
      <c r="E432" s="6" t="s">
        <v>223</v>
      </c>
      <c r="F432" s="6" t="s">
        <v>37</v>
      </c>
      <c r="G432" s="6" t="s">
        <v>38</v>
      </c>
      <c r="H432" s="9">
        <v>5.0</v>
      </c>
      <c r="I432" s="11"/>
    </row>
    <row r="433">
      <c r="A433" s="6" t="s">
        <v>179</v>
      </c>
      <c r="B433" s="9">
        <v>100.0</v>
      </c>
      <c r="C433" s="9">
        <v>1.67</v>
      </c>
      <c r="D433" s="6" t="s">
        <v>223</v>
      </c>
      <c r="E433" s="6" t="s">
        <v>224</v>
      </c>
      <c r="F433" s="6" t="s">
        <v>225</v>
      </c>
      <c r="G433" s="6" t="s">
        <v>49</v>
      </c>
      <c r="H433" s="9">
        <v>45.0</v>
      </c>
      <c r="I433" s="11"/>
    </row>
    <row r="434">
      <c r="A434" s="6" t="s">
        <v>179</v>
      </c>
      <c r="B434" s="9">
        <v>100.0</v>
      </c>
      <c r="C434" s="9">
        <v>1.67</v>
      </c>
      <c r="D434" s="6" t="s">
        <v>224</v>
      </c>
      <c r="E434" s="6" t="s">
        <v>228</v>
      </c>
      <c r="F434" s="6" t="s">
        <v>40</v>
      </c>
      <c r="G434" s="6" t="s">
        <v>29</v>
      </c>
      <c r="H434" s="11"/>
      <c r="I434" s="6" t="s">
        <v>33</v>
      </c>
    </row>
    <row r="435">
      <c r="A435" s="6" t="s">
        <v>179</v>
      </c>
      <c r="B435" s="9">
        <v>100.0</v>
      </c>
      <c r="C435" s="9">
        <v>1.67</v>
      </c>
      <c r="D435" s="6" t="s">
        <v>228</v>
      </c>
      <c r="E435" s="6" t="s">
        <v>39</v>
      </c>
      <c r="F435" s="6">
        <v>9.0</v>
      </c>
      <c r="G435" s="6" t="s">
        <v>49</v>
      </c>
      <c r="H435" s="9">
        <v>14.0</v>
      </c>
      <c r="I435" s="11"/>
    </row>
    <row r="436">
      <c r="A436" s="6" t="s">
        <v>179</v>
      </c>
      <c r="B436" s="9">
        <v>100.0</v>
      </c>
      <c r="C436" s="9">
        <v>1.67</v>
      </c>
      <c r="D436" s="6" t="s">
        <v>39</v>
      </c>
      <c r="E436" s="6" t="s">
        <v>221</v>
      </c>
      <c r="F436" s="6" t="s">
        <v>44</v>
      </c>
      <c r="G436" s="6" t="s">
        <v>45</v>
      </c>
      <c r="H436" s="9">
        <v>5.0</v>
      </c>
      <c r="I436" s="11"/>
    </row>
    <row r="437">
      <c r="A437" s="6" t="s">
        <v>179</v>
      </c>
      <c r="B437" s="9">
        <v>100.0</v>
      </c>
      <c r="C437" s="9">
        <v>1.67</v>
      </c>
      <c r="D437" s="6" t="s">
        <v>221</v>
      </c>
      <c r="E437" s="6" t="s">
        <v>186</v>
      </c>
      <c r="F437" s="6" t="s">
        <v>40</v>
      </c>
      <c r="G437" s="6" t="s">
        <v>29</v>
      </c>
      <c r="H437" s="11"/>
      <c r="I437" s="6" t="s">
        <v>33</v>
      </c>
    </row>
    <row r="438">
      <c r="A438" s="6" t="s">
        <v>179</v>
      </c>
      <c r="B438" s="9">
        <v>100.0</v>
      </c>
      <c r="C438" s="9">
        <v>1.67</v>
      </c>
      <c r="D438" s="6" t="s">
        <v>186</v>
      </c>
      <c r="E438" s="6" t="s">
        <v>199</v>
      </c>
      <c r="F438" s="6">
        <v>9.0</v>
      </c>
      <c r="G438" s="6" t="s">
        <v>49</v>
      </c>
      <c r="H438" s="9">
        <v>13.0</v>
      </c>
      <c r="I438" s="11"/>
    </row>
    <row r="439">
      <c r="A439" s="6" t="s">
        <v>179</v>
      </c>
      <c r="B439" s="9">
        <v>100.0</v>
      </c>
      <c r="C439" s="9">
        <v>1.67</v>
      </c>
      <c r="D439" s="6" t="s">
        <v>199</v>
      </c>
      <c r="E439" s="6" t="s">
        <v>202</v>
      </c>
      <c r="F439" s="6" t="s">
        <v>40</v>
      </c>
      <c r="G439" s="6" t="s">
        <v>29</v>
      </c>
      <c r="H439" s="11"/>
      <c r="I439" s="6" t="s">
        <v>33</v>
      </c>
    </row>
    <row r="440">
      <c r="A440" s="6" t="s">
        <v>179</v>
      </c>
      <c r="B440" s="9">
        <v>100.0</v>
      </c>
      <c r="C440" s="9">
        <v>1.67</v>
      </c>
      <c r="D440" s="6" t="s">
        <v>202</v>
      </c>
      <c r="E440" s="6" t="s">
        <v>115</v>
      </c>
      <c r="F440" s="6" t="s">
        <v>207</v>
      </c>
      <c r="G440" s="6" t="s">
        <v>49</v>
      </c>
      <c r="H440" s="9">
        <v>18.0</v>
      </c>
      <c r="I440" s="11"/>
    </row>
    <row r="441">
      <c r="A441" s="6" t="s">
        <v>179</v>
      </c>
      <c r="B441" s="9">
        <v>100.0</v>
      </c>
      <c r="C441" s="9">
        <v>1.67</v>
      </c>
      <c r="D441" s="6" t="s">
        <v>115</v>
      </c>
      <c r="E441" s="6" t="s">
        <v>53</v>
      </c>
      <c r="F441" s="6" t="s">
        <v>57</v>
      </c>
      <c r="G441" s="6" t="s">
        <v>29</v>
      </c>
      <c r="H441" s="11"/>
      <c r="I441" s="6" t="s">
        <v>33</v>
      </c>
    </row>
    <row r="442">
      <c r="A442" s="6" t="s">
        <v>181</v>
      </c>
      <c r="B442" s="9">
        <v>104.0</v>
      </c>
      <c r="C442" s="9">
        <v>1.73</v>
      </c>
      <c r="D442" s="6" t="s">
        <v>25</v>
      </c>
      <c r="E442" s="6" t="s">
        <v>26</v>
      </c>
      <c r="F442" s="6" t="s">
        <v>27</v>
      </c>
      <c r="G442" s="6" t="s">
        <v>29</v>
      </c>
      <c r="H442" s="11"/>
      <c r="I442" s="6" t="s">
        <v>33</v>
      </c>
    </row>
    <row r="443">
      <c r="A443" s="6" t="s">
        <v>181</v>
      </c>
      <c r="B443" s="9">
        <v>104.0</v>
      </c>
      <c r="C443" s="9">
        <v>1.73</v>
      </c>
      <c r="D443" s="6" t="s">
        <v>26</v>
      </c>
      <c r="E443" s="6" t="s">
        <v>223</v>
      </c>
      <c r="F443" s="6" t="s">
        <v>37</v>
      </c>
      <c r="G443" s="6" t="s">
        <v>38</v>
      </c>
      <c r="H443" s="9">
        <v>5.0</v>
      </c>
      <c r="I443" s="11"/>
    </row>
    <row r="444">
      <c r="A444" s="6" t="s">
        <v>181</v>
      </c>
      <c r="B444" s="9">
        <v>104.0</v>
      </c>
      <c r="C444" s="9">
        <v>1.73</v>
      </c>
      <c r="D444" s="6" t="s">
        <v>223</v>
      </c>
      <c r="E444" s="6" t="s">
        <v>224</v>
      </c>
      <c r="F444" s="6" t="s">
        <v>225</v>
      </c>
      <c r="G444" s="6" t="s">
        <v>49</v>
      </c>
      <c r="H444" s="9">
        <v>45.0</v>
      </c>
      <c r="I444" s="11"/>
    </row>
    <row r="445">
      <c r="A445" s="6" t="s">
        <v>181</v>
      </c>
      <c r="B445" s="9">
        <v>104.0</v>
      </c>
      <c r="C445" s="9">
        <v>1.73</v>
      </c>
      <c r="D445" s="6" t="s">
        <v>224</v>
      </c>
      <c r="E445" s="6" t="s">
        <v>228</v>
      </c>
      <c r="F445" s="6" t="s">
        <v>40</v>
      </c>
      <c r="G445" s="6" t="s">
        <v>29</v>
      </c>
      <c r="H445" s="11"/>
      <c r="I445" s="6" t="s">
        <v>33</v>
      </c>
    </row>
    <row r="446">
      <c r="A446" s="6" t="s">
        <v>181</v>
      </c>
      <c r="B446" s="9">
        <v>104.0</v>
      </c>
      <c r="C446" s="9">
        <v>1.73</v>
      </c>
      <c r="D446" s="6" t="s">
        <v>228</v>
      </c>
      <c r="E446" s="6" t="s">
        <v>39</v>
      </c>
      <c r="F446" s="6">
        <v>9.0</v>
      </c>
      <c r="G446" s="6" t="s">
        <v>49</v>
      </c>
      <c r="H446" s="9">
        <v>14.0</v>
      </c>
      <c r="I446" s="11"/>
    </row>
    <row r="447">
      <c r="A447" s="6" t="s">
        <v>181</v>
      </c>
      <c r="B447" s="9">
        <v>104.0</v>
      </c>
      <c r="C447" s="9">
        <v>1.73</v>
      </c>
      <c r="D447" s="6" t="s">
        <v>39</v>
      </c>
      <c r="E447" s="6" t="s">
        <v>221</v>
      </c>
      <c r="F447" s="6" t="s">
        <v>44</v>
      </c>
      <c r="G447" s="6" t="s">
        <v>45</v>
      </c>
      <c r="H447" s="9">
        <v>5.0</v>
      </c>
      <c r="I447" s="11"/>
    </row>
    <row r="448">
      <c r="A448" s="6" t="s">
        <v>181</v>
      </c>
      <c r="B448" s="9">
        <v>104.0</v>
      </c>
      <c r="C448" s="9">
        <v>1.73</v>
      </c>
      <c r="D448" s="6" t="s">
        <v>221</v>
      </c>
      <c r="E448" s="6" t="s">
        <v>186</v>
      </c>
      <c r="F448" s="6" t="s">
        <v>40</v>
      </c>
      <c r="G448" s="6" t="s">
        <v>29</v>
      </c>
      <c r="H448" s="11"/>
      <c r="I448" s="6" t="s">
        <v>33</v>
      </c>
    </row>
    <row r="449">
      <c r="A449" s="6" t="s">
        <v>181</v>
      </c>
      <c r="B449" s="9">
        <v>104.0</v>
      </c>
      <c r="C449" s="9">
        <v>1.73</v>
      </c>
      <c r="D449" s="6" t="s">
        <v>186</v>
      </c>
      <c r="E449" s="6" t="s">
        <v>210</v>
      </c>
      <c r="F449" s="6" t="s">
        <v>211</v>
      </c>
      <c r="G449" s="6" t="s">
        <v>49</v>
      </c>
      <c r="H449" s="9">
        <v>22.0</v>
      </c>
      <c r="I449" s="11"/>
    </row>
    <row r="450">
      <c r="A450" s="6" t="s">
        <v>181</v>
      </c>
      <c r="B450" s="9">
        <v>104.0</v>
      </c>
      <c r="C450" s="9">
        <v>1.73</v>
      </c>
      <c r="D450" s="6" t="s">
        <v>210</v>
      </c>
      <c r="E450" s="6" t="s">
        <v>53</v>
      </c>
      <c r="F450" s="6">
        <v>1.0</v>
      </c>
      <c r="G450" s="6" t="s">
        <v>49</v>
      </c>
      <c r="H450" s="9">
        <v>13.0</v>
      </c>
      <c r="I450" s="11"/>
    </row>
    <row r="451">
      <c r="A451" s="6" t="s">
        <v>181</v>
      </c>
      <c r="B451" s="9">
        <v>104.0</v>
      </c>
      <c r="C451" s="9">
        <v>1.73</v>
      </c>
      <c r="D451" s="6" t="s">
        <v>53</v>
      </c>
      <c r="E451" s="6" t="s">
        <v>53</v>
      </c>
      <c r="F451" s="6" t="s">
        <v>57</v>
      </c>
      <c r="G451" s="6" t="s">
        <v>29</v>
      </c>
      <c r="H451" s="11"/>
      <c r="I451" s="6" t="s">
        <v>33</v>
      </c>
    </row>
    <row r="452">
      <c r="A452" s="6" t="s">
        <v>184</v>
      </c>
      <c r="B452" s="9">
        <v>112.0</v>
      </c>
      <c r="C452" s="9">
        <v>1.87</v>
      </c>
      <c r="D452" s="6" t="s">
        <v>25</v>
      </c>
      <c r="E452" s="6" t="s">
        <v>309</v>
      </c>
      <c r="F452" s="6" t="s">
        <v>61</v>
      </c>
      <c r="G452" s="6" t="s">
        <v>49</v>
      </c>
      <c r="H452" s="9">
        <v>56.0</v>
      </c>
      <c r="I452" s="11"/>
    </row>
    <row r="453">
      <c r="A453" s="6" t="s">
        <v>184</v>
      </c>
      <c r="B453" s="9">
        <v>112.0</v>
      </c>
      <c r="C453" s="9">
        <v>1.87</v>
      </c>
      <c r="D453" s="6" t="s">
        <v>309</v>
      </c>
      <c r="E453" s="6" t="s">
        <v>310</v>
      </c>
      <c r="F453" s="6" t="s">
        <v>311</v>
      </c>
      <c r="G453" s="6" t="s">
        <v>49</v>
      </c>
      <c r="H453" s="9">
        <v>53.0</v>
      </c>
      <c r="I453" s="11"/>
    </row>
    <row r="454">
      <c r="A454" s="6" t="s">
        <v>184</v>
      </c>
      <c r="B454" s="9">
        <v>112.0</v>
      </c>
      <c r="C454" s="9">
        <v>1.87</v>
      </c>
      <c r="D454" s="6" t="s">
        <v>310</v>
      </c>
      <c r="E454" s="6" t="s">
        <v>314</v>
      </c>
      <c r="F454" s="6" t="s">
        <v>101</v>
      </c>
      <c r="G454" s="6" t="s">
        <v>73</v>
      </c>
      <c r="H454" s="9">
        <v>3.0</v>
      </c>
      <c r="I454" s="11"/>
    </row>
    <row r="455">
      <c r="A455" s="6" t="s">
        <v>184</v>
      </c>
      <c r="B455" s="9">
        <v>112.0</v>
      </c>
      <c r="C455" s="9">
        <v>1.87</v>
      </c>
      <c r="D455" s="6" t="s">
        <v>314</v>
      </c>
      <c r="E455" s="6" t="s">
        <v>53</v>
      </c>
      <c r="F455" s="6" t="s">
        <v>57</v>
      </c>
      <c r="G455" s="6" t="s">
        <v>29</v>
      </c>
      <c r="H455" s="11"/>
      <c r="I455" s="6" t="s">
        <v>33</v>
      </c>
    </row>
    <row r="456">
      <c r="A456" s="6" t="s">
        <v>187</v>
      </c>
      <c r="B456" s="9">
        <v>77.0</v>
      </c>
      <c r="C456" s="9">
        <v>1.28</v>
      </c>
      <c r="D456" s="6" t="s">
        <v>25</v>
      </c>
      <c r="E456" s="6" t="s">
        <v>26</v>
      </c>
      <c r="F456" s="6" t="s">
        <v>27</v>
      </c>
      <c r="G456" s="6" t="s">
        <v>29</v>
      </c>
      <c r="H456" s="11"/>
      <c r="I456" s="6" t="s">
        <v>33</v>
      </c>
    </row>
    <row r="457">
      <c r="A457" s="6" t="s">
        <v>187</v>
      </c>
      <c r="B457" s="9">
        <v>77.0</v>
      </c>
      <c r="C457" s="9">
        <v>1.28</v>
      </c>
      <c r="D457" s="6" t="s">
        <v>26</v>
      </c>
      <c r="E457" s="6" t="s">
        <v>285</v>
      </c>
      <c r="F457" s="6" t="s">
        <v>37</v>
      </c>
      <c r="G457" s="6" t="s">
        <v>38</v>
      </c>
      <c r="H457" s="9">
        <v>21.0</v>
      </c>
      <c r="I457" s="11"/>
    </row>
    <row r="458">
      <c r="A458" s="6" t="s">
        <v>187</v>
      </c>
      <c r="B458" s="9">
        <v>77.0</v>
      </c>
      <c r="C458" s="9">
        <v>1.28</v>
      </c>
      <c r="D458" s="6" t="s">
        <v>285</v>
      </c>
      <c r="E458" s="6" t="s">
        <v>310</v>
      </c>
      <c r="F458" s="6" t="s">
        <v>311</v>
      </c>
      <c r="G458" s="6" t="s">
        <v>49</v>
      </c>
      <c r="H458" s="9">
        <v>53.0</v>
      </c>
      <c r="I458" s="11"/>
    </row>
    <row r="459">
      <c r="A459" s="6" t="s">
        <v>187</v>
      </c>
      <c r="B459" s="9">
        <v>77.0</v>
      </c>
      <c r="C459" s="9">
        <v>1.28</v>
      </c>
      <c r="D459" s="6" t="s">
        <v>310</v>
      </c>
      <c r="E459" s="6" t="s">
        <v>314</v>
      </c>
      <c r="F459" s="6" t="s">
        <v>101</v>
      </c>
      <c r="G459" s="6" t="s">
        <v>73</v>
      </c>
      <c r="H459" s="9">
        <v>3.0</v>
      </c>
      <c r="I459" s="11"/>
    </row>
    <row r="460">
      <c r="A460" s="6" t="s">
        <v>187</v>
      </c>
      <c r="B460" s="9">
        <v>77.0</v>
      </c>
      <c r="C460" s="9">
        <v>1.28</v>
      </c>
      <c r="D460" s="6" t="s">
        <v>314</v>
      </c>
      <c r="E460" s="6" t="s">
        <v>53</v>
      </c>
      <c r="F460" s="6" t="s">
        <v>57</v>
      </c>
      <c r="G460" s="6" t="s">
        <v>29</v>
      </c>
      <c r="H460" s="11"/>
      <c r="I460" s="6" t="s">
        <v>33</v>
      </c>
    </row>
    <row r="461">
      <c r="A461" s="6" t="s">
        <v>191</v>
      </c>
      <c r="B461" s="9">
        <v>69.0</v>
      </c>
      <c r="C461" s="9">
        <v>1.15</v>
      </c>
      <c r="D461" s="6" t="s">
        <v>25</v>
      </c>
      <c r="E461" s="6" t="s">
        <v>26</v>
      </c>
      <c r="F461" s="6" t="s">
        <v>27</v>
      </c>
      <c r="G461" s="6" t="s">
        <v>29</v>
      </c>
      <c r="H461" s="11"/>
      <c r="I461" s="6" t="s">
        <v>33</v>
      </c>
    </row>
    <row r="462">
      <c r="A462" s="6" t="s">
        <v>191</v>
      </c>
      <c r="B462" s="9">
        <v>69.0</v>
      </c>
      <c r="C462" s="9">
        <v>1.15</v>
      </c>
      <c r="D462" s="6" t="s">
        <v>26</v>
      </c>
      <c r="E462" s="6" t="s">
        <v>321</v>
      </c>
      <c r="F462" s="6" t="s">
        <v>37</v>
      </c>
      <c r="G462" s="6" t="s">
        <v>38</v>
      </c>
      <c r="H462" s="9">
        <v>29.0</v>
      </c>
      <c r="I462" s="11"/>
    </row>
    <row r="463">
      <c r="A463" s="6" t="s">
        <v>191</v>
      </c>
      <c r="B463" s="9">
        <v>69.0</v>
      </c>
      <c r="C463" s="9">
        <v>1.15</v>
      </c>
      <c r="D463" s="6" t="s">
        <v>321</v>
      </c>
      <c r="E463" s="6" t="s">
        <v>314</v>
      </c>
      <c r="F463" s="6" t="s">
        <v>323</v>
      </c>
      <c r="G463" s="6" t="s">
        <v>49</v>
      </c>
      <c r="H463" s="9">
        <v>40.0</v>
      </c>
      <c r="I463" s="11"/>
    </row>
    <row r="464">
      <c r="A464" s="6" t="s">
        <v>191</v>
      </c>
      <c r="B464" s="9">
        <v>69.0</v>
      </c>
      <c r="C464" s="9">
        <v>1.15</v>
      </c>
      <c r="D464" s="6" t="s">
        <v>314</v>
      </c>
      <c r="E464" s="6" t="s">
        <v>53</v>
      </c>
      <c r="F464" s="6" t="s">
        <v>57</v>
      </c>
      <c r="G464" s="6" t="s">
        <v>29</v>
      </c>
      <c r="H464" s="11"/>
      <c r="I464" s="6" t="s">
        <v>33</v>
      </c>
    </row>
    <row r="465">
      <c r="A465" s="6" t="s">
        <v>193</v>
      </c>
      <c r="B465" s="9">
        <v>66.0</v>
      </c>
      <c r="C465" s="9">
        <v>1.1</v>
      </c>
      <c r="D465" s="6" t="s">
        <v>25</v>
      </c>
      <c r="E465" s="6" t="s">
        <v>26</v>
      </c>
      <c r="F465" s="6" t="s">
        <v>27</v>
      </c>
      <c r="G465" s="6" t="s">
        <v>29</v>
      </c>
      <c r="H465" s="11"/>
      <c r="I465" s="6" t="s">
        <v>33</v>
      </c>
    </row>
    <row r="466">
      <c r="A466" s="6" t="s">
        <v>193</v>
      </c>
      <c r="B466" s="9">
        <v>66.0</v>
      </c>
      <c r="C466" s="9">
        <v>1.1</v>
      </c>
      <c r="D466" s="6" t="s">
        <v>26</v>
      </c>
      <c r="E466" s="6" t="s">
        <v>36</v>
      </c>
      <c r="F466" s="6" t="s">
        <v>37</v>
      </c>
      <c r="G466" s="6" t="s">
        <v>38</v>
      </c>
      <c r="H466" s="9">
        <v>33.0</v>
      </c>
      <c r="I466" s="11"/>
    </row>
    <row r="467">
      <c r="A467" s="6" t="s">
        <v>193</v>
      </c>
      <c r="B467" s="9">
        <v>66.0</v>
      </c>
      <c r="C467" s="9">
        <v>1.1</v>
      </c>
      <c r="D467" s="6" t="s">
        <v>36</v>
      </c>
      <c r="E467" s="6" t="s">
        <v>39</v>
      </c>
      <c r="F467" s="6" t="s">
        <v>40</v>
      </c>
      <c r="G467" s="6" t="s">
        <v>29</v>
      </c>
      <c r="H467" s="11"/>
      <c r="I467" s="6" t="s">
        <v>33</v>
      </c>
    </row>
    <row r="468">
      <c r="A468" s="6" t="s">
        <v>193</v>
      </c>
      <c r="B468" s="9">
        <v>66.0</v>
      </c>
      <c r="C468" s="9">
        <v>1.1</v>
      </c>
      <c r="D468" s="6" t="s">
        <v>39</v>
      </c>
      <c r="E468" s="6" t="s">
        <v>79</v>
      </c>
      <c r="F468" s="6" t="s">
        <v>44</v>
      </c>
      <c r="G468" s="6" t="s">
        <v>45</v>
      </c>
      <c r="H468" s="9">
        <v>20.0</v>
      </c>
      <c r="I468" s="11"/>
    </row>
    <row r="469">
      <c r="A469" s="6" t="s">
        <v>193</v>
      </c>
      <c r="B469" s="9">
        <v>66.0</v>
      </c>
      <c r="C469" s="9">
        <v>1.1</v>
      </c>
      <c r="D469" s="6" t="s">
        <v>79</v>
      </c>
      <c r="E469" s="6" t="s">
        <v>66</v>
      </c>
      <c r="F469" s="6" t="s">
        <v>40</v>
      </c>
      <c r="G469" s="6" t="s">
        <v>29</v>
      </c>
      <c r="H469" s="11"/>
      <c r="I469" s="6" t="s">
        <v>33</v>
      </c>
    </row>
    <row r="470">
      <c r="A470" s="6" t="s">
        <v>193</v>
      </c>
      <c r="B470" s="9">
        <v>66.0</v>
      </c>
      <c r="C470" s="9">
        <v>1.1</v>
      </c>
      <c r="D470" s="6" t="s">
        <v>66</v>
      </c>
      <c r="E470" s="6" t="s">
        <v>69</v>
      </c>
      <c r="F470" s="6" t="s">
        <v>71</v>
      </c>
      <c r="G470" s="6" t="s">
        <v>73</v>
      </c>
      <c r="H470" s="9">
        <v>13.0</v>
      </c>
      <c r="I470" s="11"/>
    </row>
    <row r="471">
      <c r="A471" s="6" t="s">
        <v>193</v>
      </c>
      <c r="B471" s="9">
        <v>66.0</v>
      </c>
      <c r="C471" s="9">
        <v>1.1</v>
      </c>
      <c r="D471" s="6" t="s">
        <v>69</v>
      </c>
      <c r="E471" s="6" t="s">
        <v>53</v>
      </c>
      <c r="F471" s="6" t="s">
        <v>57</v>
      </c>
      <c r="G471" s="6" t="s">
        <v>29</v>
      </c>
      <c r="H471" s="11"/>
      <c r="I471" s="6" t="s">
        <v>33</v>
      </c>
    </row>
    <row r="472">
      <c r="A472" s="6" t="s">
        <v>195</v>
      </c>
      <c r="B472" s="9">
        <v>99.0</v>
      </c>
      <c r="C472" s="9">
        <v>1.65</v>
      </c>
      <c r="D472" s="6" t="s">
        <v>25</v>
      </c>
      <c r="E472" s="6" t="s">
        <v>309</v>
      </c>
      <c r="F472" s="6" t="s">
        <v>61</v>
      </c>
      <c r="G472" s="6" t="s">
        <v>49</v>
      </c>
      <c r="H472" s="9">
        <v>56.0</v>
      </c>
      <c r="I472" s="11"/>
    </row>
    <row r="473">
      <c r="A473" s="6" t="s">
        <v>195</v>
      </c>
      <c r="B473" s="9">
        <v>99.0</v>
      </c>
      <c r="C473" s="9">
        <v>1.65</v>
      </c>
      <c r="D473" s="6" t="s">
        <v>309</v>
      </c>
      <c r="E473" s="6" t="s">
        <v>127</v>
      </c>
      <c r="F473" s="6" t="s">
        <v>219</v>
      </c>
      <c r="G473" s="6" t="s">
        <v>49</v>
      </c>
      <c r="H473" s="9">
        <v>43.0</v>
      </c>
      <c r="I473" s="11"/>
    </row>
    <row r="474">
      <c r="A474" s="6" t="s">
        <v>195</v>
      </c>
      <c r="B474" s="9">
        <v>99.0</v>
      </c>
      <c r="C474" s="9">
        <v>1.65</v>
      </c>
      <c r="D474" s="6" t="s">
        <v>127</v>
      </c>
      <c r="E474" s="6" t="s">
        <v>53</v>
      </c>
      <c r="F474" s="6" t="s">
        <v>57</v>
      </c>
      <c r="G474" s="6" t="s">
        <v>29</v>
      </c>
      <c r="H474" s="11"/>
      <c r="I474" s="6" t="s">
        <v>33</v>
      </c>
    </row>
    <row r="475">
      <c r="A475" s="6" t="s">
        <v>197</v>
      </c>
      <c r="B475" s="9">
        <v>153.0</v>
      </c>
      <c r="C475" s="9">
        <v>2.55</v>
      </c>
      <c r="D475" s="6" t="s">
        <v>25</v>
      </c>
      <c r="E475" s="6" t="s">
        <v>329</v>
      </c>
      <c r="F475" s="6" t="s">
        <v>61</v>
      </c>
      <c r="G475" s="6" t="s">
        <v>49</v>
      </c>
      <c r="H475" s="9">
        <v>110.0</v>
      </c>
      <c r="I475" s="11"/>
    </row>
    <row r="476">
      <c r="A476" s="6" t="s">
        <v>197</v>
      </c>
      <c r="B476" s="9">
        <v>153.0</v>
      </c>
      <c r="C476" s="9">
        <v>2.55</v>
      </c>
      <c r="D476" s="6" t="s">
        <v>329</v>
      </c>
      <c r="E476" s="6" t="s">
        <v>127</v>
      </c>
      <c r="F476" s="6" t="s">
        <v>330</v>
      </c>
      <c r="G476" s="6" t="s">
        <v>49</v>
      </c>
      <c r="H476" s="9">
        <v>43.0</v>
      </c>
      <c r="I476" s="11"/>
    </row>
    <row r="477">
      <c r="A477" s="6" t="s">
        <v>197</v>
      </c>
      <c r="B477" s="9">
        <v>153.0</v>
      </c>
      <c r="C477" s="9">
        <v>2.55</v>
      </c>
      <c r="D477" s="6" t="s">
        <v>127</v>
      </c>
      <c r="E477" s="6" t="s">
        <v>53</v>
      </c>
      <c r="F477" s="6" t="s">
        <v>57</v>
      </c>
      <c r="G477" s="6" t="s">
        <v>29</v>
      </c>
      <c r="H477" s="11"/>
      <c r="I477" s="6" t="s">
        <v>33</v>
      </c>
    </row>
    <row r="478">
      <c r="A478" s="6" t="s">
        <v>200</v>
      </c>
      <c r="B478" s="9">
        <v>83.0</v>
      </c>
      <c r="C478" s="9">
        <v>1.38</v>
      </c>
      <c r="D478" s="6" t="s">
        <v>25</v>
      </c>
      <c r="E478" s="6" t="s">
        <v>26</v>
      </c>
      <c r="F478" s="6" t="s">
        <v>27</v>
      </c>
      <c r="G478" s="6" t="s">
        <v>29</v>
      </c>
      <c r="H478" s="11"/>
      <c r="I478" s="6" t="s">
        <v>33</v>
      </c>
    </row>
    <row r="479">
      <c r="A479" s="6" t="s">
        <v>200</v>
      </c>
      <c r="B479" s="9">
        <v>83.0</v>
      </c>
      <c r="C479" s="9">
        <v>1.38</v>
      </c>
      <c r="D479" s="6" t="s">
        <v>26</v>
      </c>
      <c r="E479" s="6" t="s">
        <v>329</v>
      </c>
      <c r="F479" s="6" t="s">
        <v>37</v>
      </c>
      <c r="G479" s="6" t="s">
        <v>38</v>
      </c>
      <c r="H479" s="9">
        <v>40.0</v>
      </c>
      <c r="I479" s="11"/>
    </row>
    <row r="480">
      <c r="A480" s="6" t="s">
        <v>200</v>
      </c>
      <c r="B480" s="9">
        <v>83.0</v>
      </c>
      <c r="C480" s="9">
        <v>1.38</v>
      </c>
      <c r="D480" s="6" t="s">
        <v>329</v>
      </c>
      <c r="E480" s="6" t="s">
        <v>127</v>
      </c>
      <c r="F480" s="6" t="s">
        <v>330</v>
      </c>
      <c r="G480" s="6" t="s">
        <v>49</v>
      </c>
      <c r="H480" s="9">
        <v>43.0</v>
      </c>
      <c r="I480" s="11"/>
    </row>
    <row r="481">
      <c r="A481" s="6" t="s">
        <v>200</v>
      </c>
      <c r="B481" s="9">
        <v>83.0</v>
      </c>
      <c r="C481" s="9">
        <v>1.38</v>
      </c>
      <c r="D481" s="6" t="s">
        <v>127</v>
      </c>
      <c r="E481" s="6" t="s">
        <v>53</v>
      </c>
      <c r="F481" s="6" t="s">
        <v>57</v>
      </c>
      <c r="G481" s="6" t="s">
        <v>29</v>
      </c>
      <c r="H481" s="11"/>
      <c r="I481" s="6" t="s">
        <v>33</v>
      </c>
    </row>
    <row r="482">
      <c r="A482" s="6" t="s">
        <v>205</v>
      </c>
      <c r="B482" s="9">
        <v>158.0</v>
      </c>
      <c r="C482" s="9">
        <v>2.63</v>
      </c>
      <c r="D482" s="6" t="s">
        <v>25</v>
      </c>
      <c r="E482" s="6" t="s">
        <v>60</v>
      </c>
      <c r="F482" s="6" t="s">
        <v>61</v>
      </c>
      <c r="G482" s="6" t="s">
        <v>49</v>
      </c>
      <c r="H482" s="9">
        <v>110.0</v>
      </c>
      <c r="I482" s="11"/>
    </row>
    <row r="483">
      <c r="A483" s="6" t="s">
        <v>205</v>
      </c>
      <c r="B483" s="9">
        <v>158.0</v>
      </c>
      <c r="C483" s="9">
        <v>2.63</v>
      </c>
      <c r="D483" s="6" t="s">
        <v>60</v>
      </c>
      <c r="E483" s="6" t="s">
        <v>108</v>
      </c>
      <c r="F483" s="6" t="s">
        <v>37</v>
      </c>
      <c r="G483" s="6" t="s">
        <v>38</v>
      </c>
      <c r="H483" s="9">
        <v>2.0</v>
      </c>
      <c r="I483" s="11"/>
    </row>
    <row r="484">
      <c r="A484" s="6" t="s">
        <v>205</v>
      </c>
      <c r="B484" s="9">
        <v>158.0</v>
      </c>
      <c r="C484" s="9">
        <v>2.63</v>
      </c>
      <c r="D484" s="6" t="s">
        <v>108</v>
      </c>
      <c r="E484" s="6" t="s">
        <v>110</v>
      </c>
      <c r="F484" s="6" t="s">
        <v>40</v>
      </c>
      <c r="G484" s="6" t="s">
        <v>29</v>
      </c>
      <c r="H484" s="11"/>
      <c r="I484" s="6" t="s">
        <v>33</v>
      </c>
    </row>
    <row r="485">
      <c r="A485" s="6" t="s">
        <v>205</v>
      </c>
      <c r="B485" s="9">
        <v>158.0</v>
      </c>
      <c r="C485" s="9">
        <v>2.63</v>
      </c>
      <c r="D485" s="6" t="s">
        <v>110</v>
      </c>
      <c r="E485" s="6" t="s">
        <v>112</v>
      </c>
      <c r="F485" s="6" t="s">
        <v>114</v>
      </c>
      <c r="G485" s="6" t="s">
        <v>49</v>
      </c>
      <c r="H485" s="9">
        <v>34.0</v>
      </c>
      <c r="I485" s="11"/>
    </row>
    <row r="486">
      <c r="A486" s="6" t="s">
        <v>205</v>
      </c>
      <c r="B486" s="9">
        <v>158.0</v>
      </c>
      <c r="C486" s="9">
        <v>2.63</v>
      </c>
      <c r="D486" s="6" t="s">
        <v>112</v>
      </c>
      <c r="E486" s="6" t="s">
        <v>115</v>
      </c>
      <c r="F486" s="6" t="s">
        <v>116</v>
      </c>
      <c r="G486" s="6" t="s">
        <v>49</v>
      </c>
      <c r="H486" s="9">
        <v>12.0</v>
      </c>
      <c r="I486" s="11"/>
    </row>
    <row r="487">
      <c r="A487" s="6" t="s">
        <v>205</v>
      </c>
      <c r="B487" s="9">
        <v>158.0</v>
      </c>
      <c r="C487" s="9">
        <v>2.63</v>
      </c>
      <c r="D487" s="6" t="s">
        <v>115</v>
      </c>
      <c r="E487" s="6" t="s">
        <v>53</v>
      </c>
      <c r="F487" s="6" t="s">
        <v>57</v>
      </c>
      <c r="G487" s="6" t="s">
        <v>29</v>
      </c>
      <c r="H487" s="11"/>
      <c r="I487" s="6" t="s">
        <v>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20</v>
      </c>
      <c r="C1" s="2" t="s">
        <v>12</v>
      </c>
      <c r="D1" s="2" t="s">
        <v>13</v>
      </c>
      <c r="E1" s="2" t="s">
        <v>14</v>
      </c>
      <c r="F1" s="2" t="s">
        <v>15</v>
      </c>
      <c r="G1" s="2" t="s">
        <v>21</v>
      </c>
      <c r="H1" s="2" t="s">
        <v>22</v>
      </c>
      <c r="I1" s="2" t="s">
        <v>19</v>
      </c>
    </row>
    <row r="2">
      <c r="A2" s="8" t="s">
        <v>7</v>
      </c>
      <c r="B2" s="10">
        <v>13600.0</v>
      </c>
      <c r="C2" s="8" t="s">
        <v>25</v>
      </c>
      <c r="D2" s="8" t="s">
        <v>26</v>
      </c>
      <c r="E2" s="8" t="s">
        <v>27</v>
      </c>
      <c r="F2" s="8" t="s">
        <v>29</v>
      </c>
      <c r="G2" s="12"/>
      <c r="H2" s="10">
        <v>0.0</v>
      </c>
      <c r="I2" s="12"/>
    </row>
    <row r="3">
      <c r="A3" s="8" t="s">
        <v>7</v>
      </c>
      <c r="B3" s="10">
        <v>13600.0</v>
      </c>
      <c r="C3" s="8" t="s">
        <v>26</v>
      </c>
      <c r="D3" s="8" t="s">
        <v>36</v>
      </c>
      <c r="E3" s="8" t="s">
        <v>37</v>
      </c>
      <c r="F3" s="8" t="s">
        <v>38</v>
      </c>
      <c r="G3" s="10">
        <v>13784.0</v>
      </c>
      <c r="H3" s="10">
        <v>3000.0</v>
      </c>
      <c r="I3" s="12"/>
    </row>
    <row r="4">
      <c r="A4" s="8" t="s">
        <v>7</v>
      </c>
      <c r="B4" s="10">
        <v>13600.0</v>
      </c>
      <c r="C4" s="8" t="s">
        <v>36</v>
      </c>
      <c r="D4" s="8" t="s">
        <v>39</v>
      </c>
      <c r="E4" s="8" t="s">
        <v>40</v>
      </c>
      <c r="F4" s="8" t="s">
        <v>29</v>
      </c>
      <c r="G4" s="12"/>
      <c r="H4" s="10">
        <v>0.0</v>
      </c>
      <c r="I4" s="12"/>
    </row>
    <row r="5">
      <c r="A5" s="8" t="s">
        <v>7</v>
      </c>
      <c r="B5" s="10">
        <v>13600.0</v>
      </c>
      <c r="C5" s="8" t="s">
        <v>39</v>
      </c>
      <c r="D5" s="8" t="s">
        <v>43</v>
      </c>
      <c r="E5" s="8" t="s">
        <v>44</v>
      </c>
      <c r="F5" s="8" t="s">
        <v>45</v>
      </c>
      <c r="G5" s="10">
        <v>3491.0</v>
      </c>
      <c r="H5" s="10">
        <v>7100.0</v>
      </c>
      <c r="I5" s="12"/>
    </row>
    <row r="6">
      <c r="A6" s="8" t="s">
        <v>7</v>
      </c>
      <c r="B6" s="10">
        <v>13600.0</v>
      </c>
      <c r="C6" s="8" t="s">
        <v>43</v>
      </c>
      <c r="D6" s="8" t="s">
        <v>46</v>
      </c>
      <c r="E6" s="8" t="s">
        <v>47</v>
      </c>
      <c r="F6" s="8" t="s">
        <v>49</v>
      </c>
      <c r="G6" s="12"/>
      <c r="H6" s="10">
        <v>3500.0</v>
      </c>
      <c r="I6" s="8" t="s">
        <v>51</v>
      </c>
    </row>
    <row r="7">
      <c r="A7" s="8" t="s">
        <v>7</v>
      </c>
      <c r="B7" s="10">
        <v>13600.0</v>
      </c>
      <c r="C7" s="8" t="s">
        <v>46</v>
      </c>
      <c r="D7" s="8" t="s">
        <v>52</v>
      </c>
      <c r="E7" s="8" t="s">
        <v>40</v>
      </c>
      <c r="F7" s="8" t="s">
        <v>29</v>
      </c>
      <c r="G7" s="12"/>
      <c r="H7" s="10">
        <v>0.0</v>
      </c>
      <c r="I7" s="12"/>
    </row>
    <row r="8">
      <c r="A8" s="8" t="s">
        <v>7</v>
      </c>
      <c r="B8" s="10">
        <v>13600.0</v>
      </c>
      <c r="C8" s="8" t="s">
        <v>52</v>
      </c>
      <c r="D8" s="8" t="s">
        <v>53</v>
      </c>
      <c r="E8" s="8">
        <v>1.0</v>
      </c>
      <c r="F8" s="8" t="s">
        <v>49</v>
      </c>
      <c r="G8" s="12"/>
      <c r="H8" s="10">
        <v>0.0</v>
      </c>
      <c r="I8" s="8" t="s">
        <v>56</v>
      </c>
    </row>
    <row r="9">
      <c r="A9" s="8" t="s">
        <v>7</v>
      </c>
      <c r="B9" s="10">
        <v>13600.0</v>
      </c>
      <c r="C9" s="8" t="s">
        <v>53</v>
      </c>
      <c r="D9" s="8" t="s">
        <v>53</v>
      </c>
      <c r="E9" s="8" t="s">
        <v>57</v>
      </c>
      <c r="F9" s="8" t="s">
        <v>29</v>
      </c>
      <c r="G9" s="12"/>
      <c r="H9" s="10">
        <v>0.0</v>
      </c>
      <c r="I9" s="14"/>
    </row>
    <row r="10">
      <c r="A10" s="8" t="s">
        <v>16</v>
      </c>
      <c r="B10" s="10">
        <v>13500.0</v>
      </c>
      <c r="C10" s="8" t="s">
        <v>25</v>
      </c>
      <c r="D10" s="8" t="s">
        <v>60</v>
      </c>
      <c r="E10" s="8" t="s">
        <v>61</v>
      </c>
      <c r="F10" s="8" t="s">
        <v>49</v>
      </c>
      <c r="G10" s="14"/>
      <c r="H10" s="10">
        <v>3500.0</v>
      </c>
      <c r="I10" s="8" t="s">
        <v>51</v>
      </c>
    </row>
    <row r="11">
      <c r="A11" s="8" t="s">
        <v>16</v>
      </c>
      <c r="B11" s="10">
        <v>13500.0</v>
      </c>
      <c r="C11" s="8" t="s">
        <v>60</v>
      </c>
      <c r="D11" s="8" t="s">
        <v>63</v>
      </c>
      <c r="E11" s="8" t="s">
        <v>65</v>
      </c>
      <c r="F11" s="8" t="s">
        <v>38</v>
      </c>
      <c r="G11" s="10">
        <v>3141.0</v>
      </c>
      <c r="H11" s="10">
        <v>3000.0</v>
      </c>
      <c r="I11" s="12"/>
    </row>
    <row r="12">
      <c r="A12" s="8" t="s">
        <v>16</v>
      </c>
      <c r="B12" s="10">
        <v>13500.0</v>
      </c>
      <c r="C12" s="8" t="s">
        <v>63</v>
      </c>
      <c r="D12" s="8" t="s">
        <v>66</v>
      </c>
      <c r="E12" s="8" t="s">
        <v>40</v>
      </c>
      <c r="F12" s="8" t="s">
        <v>29</v>
      </c>
      <c r="G12" s="14"/>
      <c r="H12" s="10">
        <v>0.0</v>
      </c>
      <c r="I12" s="12"/>
    </row>
    <row r="13">
      <c r="A13" s="8" t="s">
        <v>16</v>
      </c>
      <c r="B13" s="10">
        <v>13500.0</v>
      </c>
      <c r="C13" s="8" t="s">
        <v>66</v>
      </c>
      <c r="D13" s="8" t="s">
        <v>69</v>
      </c>
      <c r="E13" s="8" t="s">
        <v>71</v>
      </c>
      <c r="F13" s="8" t="s">
        <v>73</v>
      </c>
      <c r="G13" s="10">
        <v>6065.0</v>
      </c>
      <c r="H13" s="10">
        <v>7000.0</v>
      </c>
      <c r="I13" s="14"/>
    </row>
    <row r="14">
      <c r="A14" s="8" t="s">
        <v>16</v>
      </c>
      <c r="B14" s="10">
        <v>13500.0</v>
      </c>
      <c r="C14" s="8" t="s">
        <v>69</v>
      </c>
      <c r="D14" s="8" t="s">
        <v>53</v>
      </c>
      <c r="E14" s="8" t="s">
        <v>57</v>
      </c>
      <c r="F14" s="8" t="s">
        <v>29</v>
      </c>
      <c r="G14" s="14"/>
      <c r="H14" s="10">
        <v>0.0</v>
      </c>
      <c r="I14" s="12"/>
    </row>
    <row r="15">
      <c r="A15" s="8" t="s">
        <v>23</v>
      </c>
      <c r="B15" s="10">
        <v>10000.0</v>
      </c>
      <c r="C15" s="8" t="s">
        <v>25</v>
      </c>
      <c r="D15" s="8" t="s">
        <v>60</v>
      </c>
      <c r="E15" s="8" t="s">
        <v>61</v>
      </c>
      <c r="F15" s="8" t="s">
        <v>49</v>
      </c>
      <c r="G15" s="12"/>
      <c r="H15" s="10">
        <v>3500.0</v>
      </c>
      <c r="I15" s="8" t="s">
        <v>51</v>
      </c>
    </row>
    <row r="16">
      <c r="A16" s="8" t="s">
        <v>23</v>
      </c>
      <c r="B16" s="10">
        <v>10000.0</v>
      </c>
      <c r="C16" s="8" t="s">
        <v>60</v>
      </c>
      <c r="D16" s="8" t="s">
        <v>63</v>
      </c>
      <c r="E16" s="8" t="s">
        <v>65</v>
      </c>
      <c r="F16" s="8" t="s">
        <v>38</v>
      </c>
      <c r="G16" s="10">
        <v>3141.0</v>
      </c>
      <c r="H16" s="10">
        <v>3000.0</v>
      </c>
      <c r="I16" s="14"/>
    </row>
    <row r="17">
      <c r="A17" s="8" t="s">
        <v>23</v>
      </c>
      <c r="B17" s="10">
        <v>10000.0</v>
      </c>
      <c r="C17" s="8" t="s">
        <v>63</v>
      </c>
      <c r="D17" s="8" t="s">
        <v>79</v>
      </c>
      <c r="E17" s="8" t="s">
        <v>40</v>
      </c>
      <c r="F17" s="8" t="s">
        <v>29</v>
      </c>
      <c r="G17" s="12"/>
      <c r="H17" s="10">
        <v>0.0</v>
      </c>
      <c r="I17" s="14"/>
    </row>
    <row r="18">
      <c r="A18" s="8" t="s">
        <v>23</v>
      </c>
      <c r="B18" s="10">
        <v>10000.0</v>
      </c>
      <c r="C18" s="8" t="s">
        <v>79</v>
      </c>
      <c r="D18" s="8" t="s">
        <v>53</v>
      </c>
      <c r="E18" s="8">
        <v>1.0</v>
      </c>
      <c r="F18" s="8" t="s">
        <v>49</v>
      </c>
      <c r="G18" s="12"/>
      <c r="H18" s="10">
        <v>3500.0</v>
      </c>
      <c r="I18" s="8" t="s">
        <v>51</v>
      </c>
    </row>
    <row r="19">
      <c r="A19" s="8" t="s">
        <v>23</v>
      </c>
      <c r="B19" s="10">
        <v>10000.0</v>
      </c>
      <c r="C19" s="8" t="s">
        <v>53</v>
      </c>
      <c r="D19" s="8" t="s">
        <v>53</v>
      </c>
      <c r="E19" s="8" t="s">
        <v>57</v>
      </c>
      <c r="F19" s="8" t="s">
        <v>29</v>
      </c>
      <c r="G19" s="12"/>
      <c r="H19" s="10">
        <v>0.0</v>
      </c>
      <c r="I19" s="12"/>
    </row>
    <row r="20">
      <c r="A20" s="8" t="s">
        <v>28</v>
      </c>
      <c r="B20" s="10">
        <v>3500.0</v>
      </c>
      <c r="C20" s="8" t="s">
        <v>25</v>
      </c>
      <c r="D20" s="8" t="s">
        <v>60</v>
      </c>
      <c r="E20" s="8" t="s">
        <v>61</v>
      </c>
      <c r="F20" s="8" t="s">
        <v>49</v>
      </c>
      <c r="G20" s="12"/>
      <c r="H20" s="10">
        <v>3500.0</v>
      </c>
      <c r="I20" s="8" t="s">
        <v>51</v>
      </c>
    </row>
    <row r="21">
      <c r="A21" s="8" t="s">
        <v>28</v>
      </c>
      <c r="B21" s="10">
        <v>3500.0</v>
      </c>
      <c r="C21" s="8" t="s">
        <v>60</v>
      </c>
      <c r="D21" s="8" t="s">
        <v>87</v>
      </c>
      <c r="E21" s="8">
        <v>4.0</v>
      </c>
      <c r="F21" s="8" t="s">
        <v>49</v>
      </c>
      <c r="G21" s="12"/>
      <c r="H21" s="10">
        <v>0.0</v>
      </c>
      <c r="I21" s="8" t="s">
        <v>56</v>
      </c>
    </row>
    <row r="22">
      <c r="A22" s="8" t="s">
        <v>28</v>
      </c>
      <c r="B22" s="10">
        <v>3500.0</v>
      </c>
      <c r="C22" s="8" t="s">
        <v>87</v>
      </c>
      <c r="D22" s="8" t="s">
        <v>79</v>
      </c>
      <c r="E22" s="8" t="s">
        <v>40</v>
      </c>
      <c r="F22" s="8" t="s">
        <v>29</v>
      </c>
      <c r="G22" s="12"/>
      <c r="H22" s="10">
        <v>0.0</v>
      </c>
      <c r="I22" s="12"/>
    </row>
    <row r="23">
      <c r="A23" s="8" t="s">
        <v>28</v>
      </c>
      <c r="B23" s="10">
        <v>3500.0</v>
      </c>
      <c r="C23" s="8" t="s">
        <v>79</v>
      </c>
      <c r="D23" s="8" t="s">
        <v>53</v>
      </c>
      <c r="E23" s="8">
        <v>1.0</v>
      </c>
      <c r="F23" s="8" t="s">
        <v>49</v>
      </c>
      <c r="G23" s="14"/>
      <c r="H23" s="10">
        <v>0.0</v>
      </c>
      <c r="I23" s="8" t="s">
        <v>56</v>
      </c>
    </row>
    <row r="24">
      <c r="A24" s="8" t="s">
        <v>28</v>
      </c>
      <c r="B24" s="10">
        <v>3500.0</v>
      </c>
      <c r="C24" s="8" t="s">
        <v>53</v>
      </c>
      <c r="D24" s="8" t="s">
        <v>53</v>
      </c>
      <c r="E24" s="8" t="s">
        <v>57</v>
      </c>
      <c r="F24" s="8" t="s">
        <v>29</v>
      </c>
      <c r="G24" s="12"/>
      <c r="H24" s="10">
        <v>0.0</v>
      </c>
      <c r="I24" s="12"/>
    </row>
    <row r="25">
      <c r="A25" s="8" t="s">
        <v>31</v>
      </c>
      <c r="B25" s="10">
        <v>10500.0</v>
      </c>
      <c r="C25" s="8" t="s">
        <v>25</v>
      </c>
      <c r="D25" s="8" t="s">
        <v>94</v>
      </c>
      <c r="E25" s="8" t="s">
        <v>95</v>
      </c>
      <c r="F25" s="8" t="s">
        <v>49</v>
      </c>
      <c r="G25" s="14"/>
      <c r="H25" s="10">
        <v>3500.0</v>
      </c>
      <c r="I25" s="8" t="s">
        <v>51</v>
      </c>
    </row>
    <row r="26">
      <c r="A26" s="8" t="s">
        <v>31</v>
      </c>
      <c r="B26" s="10">
        <v>10500.0</v>
      </c>
      <c r="C26" s="8" t="s">
        <v>94</v>
      </c>
      <c r="D26" s="8" t="s">
        <v>98</v>
      </c>
      <c r="E26" s="8" t="s">
        <v>40</v>
      </c>
      <c r="F26" s="8" t="s">
        <v>29</v>
      </c>
      <c r="G26" s="12"/>
      <c r="H26" s="10">
        <v>0.0</v>
      </c>
      <c r="I26" s="12"/>
    </row>
    <row r="27">
      <c r="A27" s="8" t="s">
        <v>31</v>
      </c>
      <c r="B27" s="10">
        <v>10500.0</v>
      </c>
      <c r="C27" s="8" t="s">
        <v>98</v>
      </c>
      <c r="D27" s="8" t="s">
        <v>69</v>
      </c>
      <c r="E27" s="8" t="s">
        <v>101</v>
      </c>
      <c r="F27" s="8" t="s">
        <v>73</v>
      </c>
      <c r="G27" s="10">
        <v>5684.0</v>
      </c>
      <c r="H27" s="10">
        <v>7000.0</v>
      </c>
      <c r="I27" s="14"/>
    </row>
    <row r="28">
      <c r="A28" s="8" t="s">
        <v>31</v>
      </c>
      <c r="B28" s="10">
        <v>10500.0</v>
      </c>
      <c r="C28" s="8" t="s">
        <v>69</v>
      </c>
      <c r="D28" s="8" t="s">
        <v>53</v>
      </c>
      <c r="E28" s="8" t="s">
        <v>57</v>
      </c>
      <c r="F28" s="8" t="s">
        <v>29</v>
      </c>
      <c r="G28" s="12"/>
      <c r="H28" s="10">
        <v>0.0</v>
      </c>
      <c r="I28" s="14"/>
    </row>
    <row r="29">
      <c r="A29" s="8" t="s">
        <v>34</v>
      </c>
      <c r="B29" s="10">
        <v>6500.0</v>
      </c>
      <c r="C29" s="8" t="s">
        <v>25</v>
      </c>
      <c r="D29" s="8" t="s">
        <v>26</v>
      </c>
      <c r="E29" s="8" t="s">
        <v>27</v>
      </c>
      <c r="F29" s="8" t="s">
        <v>29</v>
      </c>
      <c r="G29" s="12"/>
      <c r="H29" s="10">
        <v>0.0</v>
      </c>
      <c r="I29" s="12"/>
    </row>
    <row r="30">
      <c r="A30" s="8" t="s">
        <v>34</v>
      </c>
      <c r="B30" s="10">
        <v>6500.0</v>
      </c>
      <c r="C30" s="8" t="s">
        <v>26</v>
      </c>
      <c r="D30" s="8" t="s">
        <v>108</v>
      </c>
      <c r="E30" s="8" t="s">
        <v>37</v>
      </c>
      <c r="F30" s="8" t="s">
        <v>38</v>
      </c>
      <c r="G30" s="10">
        <v>19287.0</v>
      </c>
      <c r="H30" s="10">
        <v>3000.0</v>
      </c>
      <c r="I30" s="12"/>
    </row>
    <row r="31">
      <c r="A31" s="8" t="s">
        <v>34</v>
      </c>
      <c r="B31" s="10">
        <v>6500.0</v>
      </c>
      <c r="C31" s="8" t="s">
        <v>108</v>
      </c>
      <c r="D31" s="8" t="s">
        <v>110</v>
      </c>
      <c r="E31" s="8" t="s">
        <v>40</v>
      </c>
      <c r="F31" s="8" t="s">
        <v>29</v>
      </c>
      <c r="G31" s="12"/>
      <c r="H31" s="10">
        <v>0.0</v>
      </c>
      <c r="I31" s="12"/>
    </row>
    <row r="32">
      <c r="A32" s="8" t="s">
        <v>34</v>
      </c>
      <c r="B32" s="10">
        <v>6500.0</v>
      </c>
      <c r="C32" s="8" t="s">
        <v>110</v>
      </c>
      <c r="D32" s="8" t="s">
        <v>112</v>
      </c>
      <c r="E32" s="8" t="s">
        <v>114</v>
      </c>
      <c r="F32" s="8" t="s">
        <v>49</v>
      </c>
      <c r="G32" s="12"/>
      <c r="H32" s="10">
        <v>3500.0</v>
      </c>
      <c r="I32" s="8" t="s">
        <v>51</v>
      </c>
    </row>
    <row r="33">
      <c r="A33" s="8" t="s">
        <v>34</v>
      </c>
      <c r="B33" s="10">
        <v>6500.0</v>
      </c>
      <c r="C33" s="8" t="s">
        <v>112</v>
      </c>
      <c r="D33" s="8" t="s">
        <v>115</v>
      </c>
      <c r="E33" s="8" t="s">
        <v>116</v>
      </c>
      <c r="F33" s="8" t="s">
        <v>49</v>
      </c>
      <c r="G33" s="12"/>
      <c r="H33" s="10">
        <v>0.0</v>
      </c>
      <c r="I33" s="8" t="s">
        <v>56</v>
      </c>
    </row>
    <row r="34">
      <c r="A34" s="8" t="s">
        <v>34</v>
      </c>
      <c r="B34" s="10">
        <v>6500.0</v>
      </c>
      <c r="C34" s="8" t="s">
        <v>115</v>
      </c>
      <c r="D34" s="8" t="s">
        <v>53</v>
      </c>
      <c r="E34" s="8" t="s">
        <v>57</v>
      </c>
      <c r="F34" s="8" t="s">
        <v>29</v>
      </c>
      <c r="G34" s="12"/>
      <c r="H34" s="10">
        <v>0.0</v>
      </c>
      <c r="I34" s="12"/>
    </row>
    <row r="35">
      <c r="A35" s="8" t="s">
        <v>109</v>
      </c>
      <c r="B35" s="10">
        <v>6500.0</v>
      </c>
      <c r="C35" s="8" t="s">
        <v>25</v>
      </c>
      <c r="D35" s="8" t="s">
        <v>26</v>
      </c>
      <c r="E35" s="8" t="s">
        <v>27</v>
      </c>
      <c r="F35" s="8" t="s">
        <v>29</v>
      </c>
      <c r="G35" s="14"/>
      <c r="H35" s="10">
        <v>0.0</v>
      </c>
      <c r="I35" s="12"/>
    </row>
    <row r="36">
      <c r="A36" s="8" t="s">
        <v>109</v>
      </c>
      <c r="B36" s="10">
        <v>6500.0</v>
      </c>
      <c r="C36" s="8" t="s">
        <v>26</v>
      </c>
      <c r="D36" s="8" t="s">
        <v>108</v>
      </c>
      <c r="E36" s="8" t="s">
        <v>37</v>
      </c>
      <c r="F36" s="8" t="s">
        <v>38</v>
      </c>
      <c r="G36" s="10">
        <v>19287.0</v>
      </c>
      <c r="H36" s="10">
        <v>3000.0</v>
      </c>
      <c r="I36" s="12"/>
    </row>
    <row r="37">
      <c r="A37" s="8" t="s">
        <v>109</v>
      </c>
      <c r="B37" s="10">
        <v>6500.0</v>
      </c>
      <c r="C37" s="8" t="s">
        <v>108</v>
      </c>
      <c r="D37" s="8" t="s">
        <v>110</v>
      </c>
      <c r="E37" s="8" t="s">
        <v>40</v>
      </c>
      <c r="F37" s="8" t="s">
        <v>29</v>
      </c>
      <c r="G37" s="12"/>
      <c r="H37" s="10">
        <v>0.0</v>
      </c>
      <c r="I37" s="12"/>
    </row>
    <row r="38">
      <c r="A38" s="8" t="s">
        <v>109</v>
      </c>
      <c r="B38" s="10">
        <v>6500.0</v>
      </c>
      <c r="C38" s="8" t="s">
        <v>110</v>
      </c>
      <c r="D38" s="8" t="s">
        <v>112</v>
      </c>
      <c r="E38" s="8" t="s">
        <v>114</v>
      </c>
      <c r="F38" s="8" t="s">
        <v>49</v>
      </c>
      <c r="G38" s="14"/>
      <c r="H38" s="10">
        <v>3500.0</v>
      </c>
      <c r="I38" s="8" t="s">
        <v>51</v>
      </c>
    </row>
    <row r="39">
      <c r="A39" s="8" t="s">
        <v>109</v>
      </c>
      <c r="B39" s="10">
        <v>6500.0</v>
      </c>
      <c r="C39" s="8" t="s">
        <v>112</v>
      </c>
      <c r="D39" s="8" t="s">
        <v>127</v>
      </c>
      <c r="E39" s="8" t="s">
        <v>129</v>
      </c>
      <c r="F39" s="8" t="s">
        <v>49</v>
      </c>
      <c r="G39" s="12"/>
      <c r="H39" s="10">
        <v>0.0</v>
      </c>
      <c r="I39" s="8" t="s">
        <v>56</v>
      </c>
    </row>
    <row r="40">
      <c r="A40" s="8" t="s">
        <v>109</v>
      </c>
      <c r="B40" s="10">
        <v>6500.0</v>
      </c>
      <c r="C40" s="8" t="s">
        <v>127</v>
      </c>
      <c r="D40" s="8" t="s">
        <v>53</v>
      </c>
      <c r="E40" s="8" t="s">
        <v>57</v>
      </c>
      <c r="F40" s="8" t="s">
        <v>29</v>
      </c>
      <c r="G40" s="14"/>
      <c r="H40" s="10">
        <v>0.0</v>
      </c>
      <c r="I40" s="12"/>
    </row>
    <row r="41">
      <c r="A41" s="8" t="s">
        <v>41</v>
      </c>
      <c r="B41" s="10">
        <v>13000.0</v>
      </c>
      <c r="C41" s="8" t="s">
        <v>25</v>
      </c>
      <c r="D41" s="8" t="s">
        <v>26</v>
      </c>
      <c r="E41" s="8" t="s">
        <v>27</v>
      </c>
      <c r="F41" s="8" t="s">
        <v>29</v>
      </c>
      <c r="G41" s="14"/>
      <c r="H41" s="10">
        <v>0.0</v>
      </c>
      <c r="I41" s="12"/>
    </row>
    <row r="42">
      <c r="A42" s="8" t="s">
        <v>41</v>
      </c>
      <c r="B42" s="10">
        <v>13000.0</v>
      </c>
      <c r="C42" s="8" t="s">
        <v>26</v>
      </c>
      <c r="D42" s="8" t="s">
        <v>60</v>
      </c>
      <c r="E42" s="8" t="s">
        <v>37</v>
      </c>
      <c r="F42" s="8" t="s">
        <v>38</v>
      </c>
      <c r="G42" s="10">
        <v>17735.0</v>
      </c>
      <c r="H42" s="10">
        <v>3000.0</v>
      </c>
      <c r="I42" s="12"/>
    </row>
    <row r="43">
      <c r="A43" s="8" t="s">
        <v>41</v>
      </c>
      <c r="B43" s="10">
        <v>13000.0</v>
      </c>
      <c r="C43" s="8" t="s">
        <v>60</v>
      </c>
      <c r="D43" s="8" t="s">
        <v>63</v>
      </c>
      <c r="E43" s="8" t="s">
        <v>65</v>
      </c>
      <c r="F43" s="8" t="s">
        <v>38</v>
      </c>
      <c r="G43" s="10">
        <v>3141.0</v>
      </c>
      <c r="H43" s="10">
        <v>3000.0</v>
      </c>
      <c r="I43" s="14"/>
    </row>
    <row r="44">
      <c r="A44" s="8" t="s">
        <v>41</v>
      </c>
      <c r="B44" s="10">
        <v>13000.0</v>
      </c>
      <c r="C44" s="8" t="s">
        <v>63</v>
      </c>
      <c r="D44" s="8" t="s">
        <v>66</v>
      </c>
      <c r="E44" s="8" t="s">
        <v>40</v>
      </c>
      <c r="F44" s="8" t="s">
        <v>29</v>
      </c>
      <c r="G44" s="12"/>
      <c r="H44" s="10">
        <v>0.0</v>
      </c>
      <c r="I44" s="12"/>
    </row>
    <row r="45">
      <c r="A45" s="8" t="s">
        <v>41</v>
      </c>
      <c r="B45" s="10">
        <v>13000.0</v>
      </c>
      <c r="C45" s="8" t="s">
        <v>66</v>
      </c>
      <c r="D45" s="8" t="s">
        <v>69</v>
      </c>
      <c r="E45" s="8" t="s">
        <v>71</v>
      </c>
      <c r="F45" s="8" t="s">
        <v>73</v>
      </c>
      <c r="G45" s="10">
        <v>6065.0</v>
      </c>
      <c r="H45" s="10">
        <v>7000.0</v>
      </c>
      <c r="I45" s="12"/>
    </row>
    <row r="46">
      <c r="A46" s="8" t="s">
        <v>41</v>
      </c>
      <c r="B46" s="10">
        <v>13000.0</v>
      </c>
      <c r="C46" s="8" t="s">
        <v>69</v>
      </c>
      <c r="D46" s="8" t="s">
        <v>53</v>
      </c>
      <c r="E46" s="8" t="s">
        <v>57</v>
      </c>
      <c r="F46" s="8" t="s">
        <v>29</v>
      </c>
      <c r="G46" s="12"/>
      <c r="H46" s="10">
        <v>0.0</v>
      </c>
      <c r="I46" s="14"/>
    </row>
    <row r="47">
      <c r="A47" s="8" t="s">
        <v>48</v>
      </c>
      <c r="B47" s="10">
        <v>9500.0</v>
      </c>
      <c r="C47" s="8" t="s">
        <v>25</v>
      </c>
      <c r="D47" s="8" t="s">
        <v>26</v>
      </c>
      <c r="E47" s="8" t="s">
        <v>27</v>
      </c>
      <c r="F47" s="8" t="s">
        <v>29</v>
      </c>
      <c r="G47" s="12"/>
      <c r="H47" s="10">
        <v>0.0</v>
      </c>
      <c r="I47" s="12"/>
    </row>
    <row r="48">
      <c r="A48" s="8" t="s">
        <v>48</v>
      </c>
      <c r="B48" s="10">
        <v>9500.0</v>
      </c>
      <c r="C48" s="8" t="s">
        <v>26</v>
      </c>
      <c r="D48" s="8" t="s">
        <v>60</v>
      </c>
      <c r="E48" s="8" t="s">
        <v>37</v>
      </c>
      <c r="F48" s="8" t="s">
        <v>38</v>
      </c>
      <c r="G48" s="10">
        <v>17735.0</v>
      </c>
      <c r="H48" s="10">
        <v>3000.0</v>
      </c>
      <c r="I48" s="14"/>
    </row>
    <row r="49">
      <c r="A49" s="8" t="s">
        <v>48</v>
      </c>
      <c r="B49" s="10">
        <v>9500.0</v>
      </c>
      <c r="C49" s="8" t="s">
        <v>60</v>
      </c>
      <c r="D49" s="8" t="s">
        <v>63</v>
      </c>
      <c r="E49" s="8" t="s">
        <v>65</v>
      </c>
      <c r="F49" s="8" t="s">
        <v>38</v>
      </c>
      <c r="G49" s="10">
        <v>3141.0</v>
      </c>
      <c r="H49" s="10">
        <v>3000.0</v>
      </c>
      <c r="I49" s="12"/>
    </row>
    <row r="50">
      <c r="A50" s="8" t="s">
        <v>48</v>
      </c>
      <c r="B50" s="10">
        <v>9500.0</v>
      </c>
      <c r="C50" s="8" t="s">
        <v>63</v>
      </c>
      <c r="D50" s="8" t="s">
        <v>79</v>
      </c>
      <c r="E50" s="8" t="s">
        <v>40</v>
      </c>
      <c r="F50" s="8" t="s">
        <v>29</v>
      </c>
      <c r="G50" s="14"/>
      <c r="H50" s="10">
        <v>0.0</v>
      </c>
      <c r="I50" s="12"/>
    </row>
    <row r="51">
      <c r="A51" s="8" t="s">
        <v>48</v>
      </c>
      <c r="B51" s="10">
        <v>9500.0</v>
      </c>
      <c r="C51" s="8" t="s">
        <v>79</v>
      </c>
      <c r="D51" s="8" t="s">
        <v>53</v>
      </c>
      <c r="E51" s="8">
        <v>1.0</v>
      </c>
      <c r="F51" s="8" t="s">
        <v>49</v>
      </c>
      <c r="G51" s="12"/>
      <c r="H51" s="10">
        <v>3500.0</v>
      </c>
      <c r="I51" s="8" t="s">
        <v>51</v>
      </c>
    </row>
    <row r="52">
      <c r="A52" s="8" t="s">
        <v>48</v>
      </c>
      <c r="B52" s="10">
        <v>9500.0</v>
      </c>
      <c r="C52" s="8" t="s">
        <v>53</v>
      </c>
      <c r="D52" s="8" t="s">
        <v>53</v>
      </c>
      <c r="E52" s="8" t="s">
        <v>57</v>
      </c>
      <c r="F52" s="8" t="s">
        <v>29</v>
      </c>
      <c r="G52" s="12"/>
      <c r="H52" s="10">
        <v>0.0</v>
      </c>
      <c r="I52" s="14"/>
    </row>
    <row r="53">
      <c r="A53" s="8" t="s">
        <v>54</v>
      </c>
      <c r="B53" s="10">
        <v>6500.0</v>
      </c>
      <c r="C53" s="8" t="s">
        <v>25</v>
      </c>
      <c r="D53" s="8" t="s">
        <v>26</v>
      </c>
      <c r="E53" s="8" t="s">
        <v>27</v>
      </c>
      <c r="F53" s="8" t="s">
        <v>29</v>
      </c>
      <c r="G53" s="12"/>
      <c r="H53" s="10">
        <v>0.0</v>
      </c>
      <c r="I53" s="14"/>
    </row>
    <row r="54">
      <c r="A54" s="8" t="s">
        <v>54</v>
      </c>
      <c r="B54" s="10">
        <v>6500.0</v>
      </c>
      <c r="C54" s="8" t="s">
        <v>26</v>
      </c>
      <c r="D54" s="8" t="s">
        <v>60</v>
      </c>
      <c r="E54" s="8" t="s">
        <v>37</v>
      </c>
      <c r="F54" s="8" t="s">
        <v>38</v>
      </c>
      <c r="G54" s="10">
        <v>17735.0</v>
      </c>
      <c r="H54" s="10">
        <v>3000.0</v>
      </c>
      <c r="I54" s="12"/>
    </row>
    <row r="55">
      <c r="A55" s="8" t="s">
        <v>54</v>
      </c>
      <c r="B55" s="10">
        <v>6500.0</v>
      </c>
      <c r="C55" s="8" t="s">
        <v>60</v>
      </c>
      <c r="D55" s="8" t="s">
        <v>87</v>
      </c>
      <c r="E55" s="8">
        <v>4.0</v>
      </c>
      <c r="F55" s="8" t="s">
        <v>49</v>
      </c>
      <c r="G55" s="14"/>
      <c r="H55" s="10">
        <v>3500.0</v>
      </c>
      <c r="I55" s="8" t="s">
        <v>51</v>
      </c>
    </row>
    <row r="56">
      <c r="A56" s="8" t="s">
        <v>54</v>
      </c>
      <c r="B56" s="10">
        <v>6500.0</v>
      </c>
      <c r="C56" s="8" t="s">
        <v>87</v>
      </c>
      <c r="D56" s="8" t="s">
        <v>79</v>
      </c>
      <c r="E56" s="8" t="s">
        <v>40</v>
      </c>
      <c r="F56" s="8" t="s">
        <v>29</v>
      </c>
      <c r="G56" s="12"/>
      <c r="H56" s="10">
        <v>0.0</v>
      </c>
      <c r="I56" s="12"/>
    </row>
    <row r="57">
      <c r="A57" s="8" t="s">
        <v>54</v>
      </c>
      <c r="B57" s="10">
        <v>6500.0</v>
      </c>
      <c r="C57" s="8" t="s">
        <v>79</v>
      </c>
      <c r="D57" s="8" t="s">
        <v>53</v>
      </c>
      <c r="E57" s="8">
        <v>1.0</v>
      </c>
      <c r="F57" s="8" t="s">
        <v>49</v>
      </c>
      <c r="G57" s="12"/>
      <c r="H57" s="10">
        <v>0.0</v>
      </c>
      <c r="I57" s="8" t="s">
        <v>56</v>
      </c>
    </row>
    <row r="58">
      <c r="A58" s="8" t="s">
        <v>54</v>
      </c>
      <c r="B58" s="10">
        <v>6500.0</v>
      </c>
      <c r="C58" s="8" t="s">
        <v>53</v>
      </c>
      <c r="D58" s="8" t="s">
        <v>53</v>
      </c>
      <c r="E58" s="8" t="s">
        <v>57</v>
      </c>
      <c r="F58" s="8" t="s">
        <v>29</v>
      </c>
      <c r="G58" s="12"/>
      <c r="H58" s="10">
        <v>0.0</v>
      </c>
      <c r="I58" s="14"/>
    </row>
    <row r="59">
      <c r="A59" s="8" t="s">
        <v>58</v>
      </c>
      <c r="B59" s="10">
        <v>6500.0</v>
      </c>
      <c r="C59" s="8" t="s">
        <v>25</v>
      </c>
      <c r="D59" s="8" t="s">
        <v>26</v>
      </c>
      <c r="E59" s="8" t="s">
        <v>27</v>
      </c>
      <c r="F59" s="8" t="s">
        <v>29</v>
      </c>
      <c r="G59" s="12"/>
      <c r="H59" s="10">
        <v>0.0</v>
      </c>
      <c r="I59" s="12"/>
    </row>
    <row r="60">
      <c r="A60" s="8" t="s">
        <v>58</v>
      </c>
      <c r="B60" s="10">
        <v>6500.0</v>
      </c>
      <c r="C60" s="8" t="s">
        <v>26</v>
      </c>
      <c r="D60" s="8" t="s">
        <v>151</v>
      </c>
      <c r="E60" s="8" t="s">
        <v>37</v>
      </c>
      <c r="F60" s="8" t="s">
        <v>38</v>
      </c>
      <c r="G60" s="10">
        <v>15581.0</v>
      </c>
      <c r="H60" s="10">
        <v>3000.0</v>
      </c>
      <c r="I60" s="12"/>
    </row>
    <row r="61">
      <c r="A61" s="8" t="s">
        <v>58</v>
      </c>
      <c r="B61" s="10">
        <v>6500.0</v>
      </c>
      <c r="C61" s="8" t="s">
        <v>151</v>
      </c>
      <c r="D61" s="8" t="s">
        <v>152</v>
      </c>
      <c r="E61" s="8" t="s">
        <v>40</v>
      </c>
      <c r="F61" s="8" t="s">
        <v>29</v>
      </c>
      <c r="G61" s="12"/>
      <c r="H61" s="10">
        <v>0.0</v>
      </c>
      <c r="I61" s="12"/>
    </row>
    <row r="62">
      <c r="A62" s="8" t="s">
        <v>58</v>
      </c>
      <c r="B62" s="10">
        <v>6500.0</v>
      </c>
      <c r="C62" s="8" t="s">
        <v>152</v>
      </c>
      <c r="D62" s="8" t="s">
        <v>112</v>
      </c>
      <c r="E62" s="8" t="s">
        <v>155</v>
      </c>
      <c r="F62" s="8" t="s">
        <v>49</v>
      </c>
      <c r="G62" s="12"/>
      <c r="H62" s="10">
        <v>3500.0</v>
      </c>
      <c r="I62" s="8" t="s">
        <v>51</v>
      </c>
    </row>
    <row r="63">
      <c r="A63" s="8" t="s">
        <v>58</v>
      </c>
      <c r="B63" s="10">
        <v>6500.0</v>
      </c>
      <c r="C63" s="8" t="s">
        <v>112</v>
      </c>
      <c r="D63" s="8" t="s">
        <v>115</v>
      </c>
      <c r="E63" s="8" t="s">
        <v>116</v>
      </c>
      <c r="F63" s="8" t="s">
        <v>49</v>
      </c>
      <c r="G63" s="12"/>
      <c r="H63" s="10">
        <v>0.0</v>
      </c>
      <c r="I63" s="8" t="s">
        <v>56</v>
      </c>
    </row>
    <row r="64">
      <c r="A64" s="8" t="s">
        <v>58</v>
      </c>
      <c r="B64" s="10">
        <v>6500.0</v>
      </c>
      <c r="C64" s="8" t="s">
        <v>115</v>
      </c>
      <c r="D64" s="8" t="s">
        <v>53</v>
      </c>
      <c r="E64" s="8" t="s">
        <v>57</v>
      </c>
      <c r="F64" s="8" t="s">
        <v>29</v>
      </c>
      <c r="G64" s="14"/>
      <c r="H64" s="10">
        <v>0.0</v>
      </c>
      <c r="I64" s="12"/>
    </row>
    <row r="65">
      <c r="A65" s="8" t="s">
        <v>123</v>
      </c>
      <c r="B65" s="10">
        <v>6500.0</v>
      </c>
      <c r="C65" s="8" t="s">
        <v>25</v>
      </c>
      <c r="D65" s="8" t="s">
        <v>26</v>
      </c>
      <c r="E65" s="8" t="s">
        <v>27</v>
      </c>
      <c r="F65" s="8" t="s">
        <v>29</v>
      </c>
      <c r="G65" s="12"/>
      <c r="H65" s="10">
        <v>0.0</v>
      </c>
      <c r="I65" s="14"/>
    </row>
    <row r="66">
      <c r="A66" s="8" t="s">
        <v>123</v>
      </c>
      <c r="B66" s="10">
        <v>6500.0</v>
      </c>
      <c r="C66" s="8" t="s">
        <v>26</v>
      </c>
      <c r="D66" s="8" t="s">
        <v>151</v>
      </c>
      <c r="E66" s="8" t="s">
        <v>37</v>
      </c>
      <c r="F66" s="8" t="s">
        <v>38</v>
      </c>
      <c r="G66" s="10">
        <v>15581.0</v>
      </c>
      <c r="H66" s="10">
        <v>3000.0</v>
      </c>
      <c r="I66" s="12"/>
    </row>
    <row r="67">
      <c r="A67" s="8" t="s">
        <v>123</v>
      </c>
      <c r="B67" s="10">
        <v>6500.0</v>
      </c>
      <c r="C67" s="8" t="s">
        <v>151</v>
      </c>
      <c r="D67" s="8" t="s">
        <v>152</v>
      </c>
      <c r="E67" s="8" t="s">
        <v>40</v>
      </c>
      <c r="F67" s="8" t="s">
        <v>29</v>
      </c>
      <c r="G67" s="12"/>
      <c r="H67" s="10">
        <v>0.0</v>
      </c>
      <c r="I67" s="14"/>
    </row>
    <row r="68">
      <c r="A68" s="8" t="s">
        <v>123</v>
      </c>
      <c r="B68" s="10">
        <v>6500.0</v>
      </c>
      <c r="C68" s="8" t="s">
        <v>152</v>
      </c>
      <c r="D68" s="8" t="s">
        <v>112</v>
      </c>
      <c r="E68" s="8" t="s">
        <v>155</v>
      </c>
      <c r="F68" s="8" t="s">
        <v>49</v>
      </c>
      <c r="G68" s="12"/>
      <c r="H68" s="10">
        <v>3500.0</v>
      </c>
      <c r="I68" s="8" t="s">
        <v>51</v>
      </c>
    </row>
    <row r="69">
      <c r="A69" s="8" t="s">
        <v>123</v>
      </c>
      <c r="B69" s="10">
        <v>6500.0</v>
      </c>
      <c r="C69" s="8" t="s">
        <v>112</v>
      </c>
      <c r="D69" s="8" t="s">
        <v>127</v>
      </c>
      <c r="E69" s="8" t="s">
        <v>129</v>
      </c>
      <c r="F69" s="8" t="s">
        <v>49</v>
      </c>
      <c r="G69" s="14"/>
      <c r="H69" s="10">
        <v>0.0</v>
      </c>
      <c r="I69" s="8" t="s">
        <v>56</v>
      </c>
    </row>
    <row r="70">
      <c r="A70" s="8" t="s">
        <v>123</v>
      </c>
      <c r="B70" s="10">
        <v>6500.0</v>
      </c>
      <c r="C70" s="8" t="s">
        <v>127</v>
      </c>
      <c r="D70" s="8" t="s">
        <v>53</v>
      </c>
      <c r="E70" s="8" t="s">
        <v>57</v>
      </c>
      <c r="F70" s="8" t="s">
        <v>29</v>
      </c>
      <c r="G70" s="12"/>
      <c r="H70" s="10">
        <v>0.0</v>
      </c>
      <c r="I70" s="12"/>
    </row>
    <row r="71">
      <c r="A71" s="8" t="s">
        <v>62</v>
      </c>
      <c r="B71" s="10">
        <v>13500.0</v>
      </c>
      <c r="C71" s="8" t="s">
        <v>25</v>
      </c>
      <c r="D71" s="8" t="s">
        <v>26</v>
      </c>
      <c r="E71" s="8" t="s">
        <v>27</v>
      </c>
      <c r="F71" s="8" t="s">
        <v>29</v>
      </c>
      <c r="G71" s="12"/>
      <c r="H71" s="10">
        <v>0.0</v>
      </c>
      <c r="I71" s="14"/>
    </row>
    <row r="72">
      <c r="A72" s="8" t="s">
        <v>62</v>
      </c>
      <c r="B72" s="10">
        <v>13500.0</v>
      </c>
      <c r="C72" s="8" t="s">
        <v>26</v>
      </c>
      <c r="D72" s="8" t="s">
        <v>164</v>
      </c>
      <c r="E72" s="8" t="s">
        <v>37</v>
      </c>
      <c r="F72" s="8" t="s">
        <v>38</v>
      </c>
      <c r="G72" s="10">
        <v>6017.0</v>
      </c>
      <c r="H72" s="10">
        <v>3000.0</v>
      </c>
      <c r="I72" s="14"/>
    </row>
    <row r="73">
      <c r="A73" s="8" t="s">
        <v>62</v>
      </c>
      <c r="B73" s="10">
        <v>13500.0</v>
      </c>
      <c r="C73" s="8" t="s">
        <v>164</v>
      </c>
      <c r="D73" s="8" t="s">
        <v>165</v>
      </c>
      <c r="E73" s="8" t="s">
        <v>40</v>
      </c>
      <c r="F73" s="8" t="s">
        <v>29</v>
      </c>
      <c r="G73" s="12"/>
      <c r="H73" s="10">
        <v>0.0</v>
      </c>
      <c r="I73" s="12"/>
    </row>
    <row r="74">
      <c r="A74" s="8" t="s">
        <v>62</v>
      </c>
      <c r="B74" s="10">
        <v>13500.0</v>
      </c>
      <c r="C74" s="8" t="s">
        <v>165</v>
      </c>
      <c r="D74" s="8" t="s">
        <v>94</v>
      </c>
      <c r="E74" s="8" t="s">
        <v>166</v>
      </c>
      <c r="F74" s="8" t="s">
        <v>49</v>
      </c>
      <c r="G74" s="12"/>
      <c r="H74" s="10">
        <v>3500.0</v>
      </c>
      <c r="I74" s="8" t="s">
        <v>51</v>
      </c>
    </row>
    <row r="75">
      <c r="A75" s="8" t="s">
        <v>62</v>
      </c>
      <c r="B75" s="10">
        <v>13500.0</v>
      </c>
      <c r="C75" s="8" t="s">
        <v>94</v>
      </c>
      <c r="D75" s="8" t="s">
        <v>98</v>
      </c>
      <c r="E75" s="8" t="s">
        <v>40</v>
      </c>
      <c r="F75" s="8" t="s">
        <v>29</v>
      </c>
      <c r="G75" s="12"/>
      <c r="H75" s="10">
        <v>0.0</v>
      </c>
      <c r="I75" s="12"/>
    </row>
    <row r="76">
      <c r="A76" s="8" t="s">
        <v>62</v>
      </c>
      <c r="B76" s="10">
        <v>13500.0</v>
      </c>
      <c r="C76" s="8" t="s">
        <v>98</v>
      </c>
      <c r="D76" s="8" t="s">
        <v>69</v>
      </c>
      <c r="E76" s="8" t="s">
        <v>101</v>
      </c>
      <c r="F76" s="8" t="s">
        <v>73</v>
      </c>
      <c r="G76" s="10">
        <v>5684.0</v>
      </c>
      <c r="H76" s="10">
        <v>7000.0</v>
      </c>
      <c r="I76" s="12"/>
    </row>
    <row r="77">
      <c r="A77" s="8" t="s">
        <v>62</v>
      </c>
      <c r="B77" s="10">
        <v>13500.0</v>
      </c>
      <c r="C77" s="8" t="s">
        <v>69</v>
      </c>
      <c r="D77" s="8" t="s">
        <v>53</v>
      </c>
      <c r="E77" s="8" t="s">
        <v>57</v>
      </c>
      <c r="F77" s="8" t="s">
        <v>29</v>
      </c>
      <c r="G77" s="12"/>
      <c r="H77" s="10">
        <v>0.0</v>
      </c>
      <c r="I77" s="12"/>
    </row>
    <row r="78">
      <c r="A78" s="8" t="s">
        <v>67</v>
      </c>
      <c r="B78" s="10">
        <v>3500.0</v>
      </c>
      <c r="C78" s="8" t="s">
        <v>25</v>
      </c>
      <c r="D78" s="8" t="s">
        <v>94</v>
      </c>
      <c r="E78" s="8" t="s">
        <v>166</v>
      </c>
      <c r="F78" s="8" t="s">
        <v>49</v>
      </c>
      <c r="G78" s="12"/>
      <c r="H78" s="10">
        <v>3500.0</v>
      </c>
      <c r="I78" s="8" t="s">
        <v>51</v>
      </c>
    </row>
    <row r="79">
      <c r="A79" s="8" t="s">
        <v>67</v>
      </c>
      <c r="B79" s="10">
        <v>3500.0</v>
      </c>
      <c r="C79" s="8" t="s">
        <v>94</v>
      </c>
      <c r="D79" s="8" t="s">
        <v>173</v>
      </c>
      <c r="E79" s="8" t="s">
        <v>40</v>
      </c>
      <c r="F79" s="8" t="s">
        <v>29</v>
      </c>
      <c r="G79" s="12"/>
      <c r="H79" s="10">
        <v>0.0</v>
      </c>
      <c r="I79" s="12"/>
    </row>
    <row r="80">
      <c r="A80" s="8" t="s">
        <v>67</v>
      </c>
      <c r="B80" s="10">
        <v>3500.0</v>
      </c>
      <c r="C80" s="8" t="s">
        <v>173</v>
      </c>
      <c r="D80" s="8" t="s">
        <v>69</v>
      </c>
      <c r="E80" s="8" t="s">
        <v>176</v>
      </c>
      <c r="F80" s="8" t="s">
        <v>49</v>
      </c>
      <c r="G80" s="12"/>
      <c r="H80" s="10">
        <v>0.0</v>
      </c>
      <c r="I80" s="8" t="s">
        <v>56</v>
      </c>
    </row>
    <row r="81">
      <c r="A81" s="8" t="s">
        <v>67</v>
      </c>
      <c r="B81" s="10">
        <v>3500.0</v>
      </c>
      <c r="C81" s="8" t="s">
        <v>69</v>
      </c>
      <c r="D81" s="8" t="s">
        <v>53</v>
      </c>
      <c r="E81" s="8" t="s">
        <v>57</v>
      </c>
      <c r="F81" s="8" t="s">
        <v>29</v>
      </c>
      <c r="G81" s="12"/>
      <c r="H81" s="10">
        <v>0.0</v>
      </c>
      <c r="I81" s="12"/>
    </row>
    <row r="82">
      <c r="A82" s="8" t="s">
        <v>70</v>
      </c>
      <c r="B82" s="10">
        <v>6500.0</v>
      </c>
      <c r="C82" s="8" t="s">
        <v>25</v>
      </c>
      <c r="D82" s="8" t="s">
        <v>26</v>
      </c>
      <c r="E82" s="8" t="s">
        <v>27</v>
      </c>
      <c r="F82" s="8" t="s">
        <v>29</v>
      </c>
      <c r="G82" s="12"/>
      <c r="H82" s="10">
        <v>0.0</v>
      </c>
      <c r="I82" s="14"/>
    </row>
    <row r="83">
      <c r="A83" s="8" t="s">
        <v>70</v>
      </c>
      <c r="B83" s="10">
        <v>6500.0</v>
      </c>
      <c r="C83" s="8" t="s">
        <v>26</v>
      </c>
      <c r="D83" s="8" t="s">
        <v>36</v>
      </c>
      <c r="E83" s="8" t="s">
        <v>37</v>
      </c>
      <c r="F83" s="8" t="s">
        <v>38</v>
      </c>
      <c r="G83" s="10">
        <v>13784.0</v>
      </c>
      <c r="H83" s="10">
        <v>3000.0</v>
      </c>
      <c r="I83" s="12"/>
    </row>
    <row r="84">
      <c r="A84" s="8" t="s">
        <v>70</v>
      </c>
      <c r="B84" s="10">
        <v>6500.0</v>
      </c>
      <c r="C84" s="8" t="s">
        <v>36</v>
      </c>
      <c r="D84" s="8" t="s">
        <v>183</v>
      </c>
      <c r="E84" s="8" t="s">
        <v>40</v>
      </c>
      <c r="F84" s="8" t="s">
        <v>29</v>
      </c>
      <c r="G84" s="14"/>
      <c r="H84" s="10">
        <v>0.0</v>
      </c>
      <c r="I84" s="12"/>
    </row>
    <row r="85">
      <c r="A85" s="8" t="s">
        <v>70</v>
      </c>
      <c r="B85" s="10">
        <v>6500.0</v>
      </c>
      <c r="C85" s="8" t="s">
        <v>183</v>
      </c>
      <c r="D85" s="8" t="s">
        <v>186</v>
      </c>
      <c r="E85" s="8">
        <v>9.0</v>
      </c>
      <c r="F85" s="8" t="s">
        <v>49</v>
      </c>
      <c r="G85" s="12"/>
      <c r="H85" s="10">
        <v>3500.0</v>
      </c>
      <c r="I85" s="8" t="s">
        <v>51</v>
      </c>
    </row>
    <row r="86">
      <c r="A86" s="8" t="s">
        <v>70</v>
      </c>
      <c r="B86" s="10">
        <v>6500.0</v>
      </c>
      <c r="C86" s="8" t="s">
        <v>186</v>
      </c>
      <c r="D86" s="8" t="s">
        <v>189</v>
      </c>
      <c r="E86" s="8" t="s">
        <v>190</v>
      </c>
      <c r="F86" s="8" t="s">
        <v>49</v>
      </c>
      <c r="G86" s="12"/>
      <c r="H86" s="10">
        <v>0.0</v>
      </c>
      <c r="I86" s="8" t="s">
        <v>56</v>
      </c>
    </row>
    <row r="87">
      <c r="A87" s="8" t="s">
        <v>70</v>
      </c>
      <c r="B87" s="10">
        <v>6500.0</v>
      </c>
      <c r="C87" s="8" t="s">
        <v>189</v>
      </c>
      <c r="D87" s="8" t="s">
        <v>52</v>
      </c>
      <c r="E87" s="8" t="s">
        <v>40</v>
      </c>
      <c r="F87" s="8" t="s">
        <v>29</v>
      </c>
      <c r="G87" s="12"/>
      <c r="H87" s="10">
        <v>0.0</v>
      </c>
      <c r="I87" s="14"/>
    </row>
    <row r="88">
      <c r="A88" s="8" t="s">
        <v>70</v>
      </c>
      <c r="B88" s="10">
        <v>6500.0</v>
      </c>
      <c r="C88" s="8" t="s">
        <v>52</v>
      </c>
      <c r="D88" s="8" t="s">
        <v>53</v>
      </c>
      <c r="E88" s="8">
        <v>1.0</v>
      </c>
      <c r="F88" s="8" t="s">
        <v>49</v>
      </c>
      <c r="G88" s="12"/>
      <c r="H88" s="10">
        <v>0.0</v>
      </c>
      <c r="I88" s="8" t="s">
        <v>56</v>
      </c>
    </row>
    <row r="89">
      <c r="A89" s="8" t="s">
        <v>70</v>
      </c>
      <c r="B89" s="10">
        <v>6500.0</v>
      </c>
      <c r="C89" s="8" t="s">
        <v>53</v>
      </c>
      <c r="D89" s="8" t="s">
        <v>53</v>
      </c>
      <c r="E89" s="8" t="s">
        <v>57</v>
      </c>
      <c r="F89" s="8" t="s">
        <v>29</v>
      </c>
      <c r="G89" s="12"/>
      <c r="H89" s="10">
        <v>0.0</v>
      </c>
      <c r="I89" s="14"/>
    </row>
    <row r="90">
      <c r="A90" s="8" t="s">
        <v>74</v>
      </c>
      <c r="B90" s="10">
        <v>6500.0</v>
      </c>
      <c r="C90" s="8" t="s">
        <v>25</v>
      </c>
      <c r="D90" s="8" t="s">
        <v>26</v>
      </c>
      <c r="E90" s="8" t="s">
        <v>27</v>
      </c>
      <c r="F90" s="8" t="s">
        <v>29</v>
      </c>
      <c r="G90" s="12"/>
      <c r="H90" s="10">
        <v>0.0</v>
      </c>
      <c r="I90" s="12"/>
    </row>
    <row r="91">
      <c r="A91" s="8" t="s">
        <v>74</v>
      </c>
      <c r="B91" s="10">
        <v>6500.0</v>
      </c>
      <c r="C91" s="8" t="s">
        <v>26</v>
      </c>
      <c r="D91" s="8" t="s">
        <v>36</v>
      </c>
      <c r="E91" s="8" t="s">
        <v>37</v>
      </c>
      <c r="F91" s="8" t="s">
        <v>38</v>
      </c>
      <c r="G91" s="10">
        <v>13784.0</v>
      </c>
      <c r="H91" s="10">
        <v>3000.0</v>
      </c>
      <c r="I91" s="12"/>
    </row>
    <row r="92">
      <c r="A92" s="8" t="s">
        <v>74</v>
      </c>
      <c r="B92" s="10">
        <v>6500.0</v>
      </c>
      <c r="C92" s="8" t="s">
        <v>36</v>
      </c>
      <c r="D92" s="8" t="s">
        <v>183</v>
      </c>
      <c r="E92" s="8" t="s">
        <v>40</v>
      </c>
      <c r="F92" s="8" t="s">
        <v>29</v>
      </c>
      <c r="G92" s="12"/>
      <c r="H92" s="10">
        <v>0.0</v>
      </c>
      <c r="I92" s="12"/>
    </row>
    <row r="93">
      <c r="A93" s="8" t="s">
        <v>74</v>
      </c>
      <c r="B93" s="10">
        <v>6500.0</v>
      </c>
      <c r="C93" s="8" t="s">
        <v>183</v>
      </c>
      <c r="D93" s="8" t="s">
        <v>199</v>
      </c>
      <c r="E93" s="8">
        <v>9.0</v>
      </c>
      <c r="F93" s="8" t="s">
        <v>49</v>
      </c>
      <c r="G93" s="12"/>
      <c r="H93" s="10">
        <v>3500.0</v>
      </c>
      <c r="I93" s="8" t="s">
        <v>51</v>
      </c>
    </row>
    <row r="94">
      <c r="A94" s="8" t="s">
        <v>74</v>
      </c>
      <c r="B94" s="10">
        <v>6500.0</v>
      </c>
      <c r="C94" s="8" t="s">
        <v>199</v>
      </c>
      <c r="D94" s="8" t="s">
        <v>202</v>
      </c>
      <c r="E94" s="8" t="s">
        <v>40</v>
      </c>
      <c r="F94" s="8" t="s">
        <v>29</v>
      </c>
      <c r="G94" s="12"/>
      <c r="H94" s="10">
        <v>0.0</v>
      </c>
      <c r="I94" s="14"/>
    </row>
    <row r="95">
      <c r="A95" s="8" t="s">
        <v>74</v>
      </c>
      <c r="B95" s="10">
        <v>6500.0</v>
      </c>
      <c r="C95" s="8" t="s">
        <v>202</v>
      </c>
      <c r="D95" s="8" t="s">
        <v>46</v>
      </c>
      <c r="E95" s="8">
        <v>13.0</v>
      </c>
      <c r="F95" s="8" t="s">
        <v>49</v>
      </c>
      <c r="G95" s="12"/>
      <c r="H95" s="10">
        <v>0.0</v>
      </c>
      <c r="I95" s="8" t="s">
        <v>56</v>
      </c>
    </row>
    <row r="96">
      <c r="A96" s="8" t="s">
        <v>74</v>
      </c>
      <c r="B96" s="10">
        <v>6500.0</v>
      </c>
      <c r="C96" s="8" t="s">
        <v>46</v>
      </c>
      <c r="D96" s="8" t="s">
        <v>52</v>
      </c>
      <c r="E96" s="8" t="s">
        <v>40</v>
      </c>
      <c r="F96" s="8" t="s">
        <v>29</v>
      </c>
      <c r="G96" s="12"/>
      <c r="H96" s="10">
        <v>0.0</v>
      </c>
      <c r="I96" s="12"/>
    </row>
    <row r="97">
      <c r="A97" s="8" t="s">
        <v>74</v>
      </c>
      <c r="B97" s="10">
        <v>6500.0</v>
      </c>
      <c r="C97" s="8" t="s">
        <v>52</v>
      </c>
      <c r="D97" s="8" t="s">
        <v>53</v>
      </c>
      <c r="E97" s="8">
        <v>1.0</v>
      </c>
      <c r="F97" s="8" t="s">
        <v>49</v>
      </c>
      <c r="G97" s="14"/>
      <c r="H97" s="10">
        <v>0.0</v>
      </c>
      <c r="I97" s="8" t="s">
        <v>56</v>
      </c>
    </row>
    <row r="98">
      <c r="A98" s="8" t="s">
        <v>74</v>
      </c>
      <c r="B98" s="10">
        <v>6500.0</v>
      </c>
      <c r="C98" s="8" t="s">
        <v>53</v>
      </c>
      <c r="D98" s="8" t="s">
        <v>53</v>
      </c>
      <c r="E98" s="8" t="s">
        <v>57</v>
      </c>
      <c r="F98" s="8" t="s">
        <v>29</v>
      </c>
      <c r="G98" s="12"/>
      <c r="H98" s="10">
        <v>0.0</v>
      </c>
      <c r="I98" s="12"/>
    </row>
    <row r="99">
      <c r="A99" s="8" t="s">
        <v>76</v>
      </c>
      <c r="B99" s="10">
        <v>6500.0</v>
      </c>
      <c r="C99" s="8" t="s">
        <v>25</v>
      </c>
      <c r="D99" s="8" t="s">
        <v>26</v>
      </c>
      <c r="E99" s="8" t="s">
        <v>27</v>
      </c>
      <c r="F99" s="8" t="s">
        <v>29</v>
      </c>
      <c r="G99" s="12"/>
      <c r="H99" s="10">
        <v>0.0</v>
      </c>
      <c r="I99" s="14"/>
    </row>
    <row r="100">
      <c r="A100" s="8" t="s">
        <v>76</v>
      </c>
      <c r="B100" s="10">
        <v>6500.0</v>
      </c>
      <c r="C100" s="8" t="s">
        <v>26</v>
      </c>
      <c r="D100" s="8" t="s">
        <v>36</v>
      </c>
      <c r="E100" s="8" t="s">
        <v>37</v>
      </c>
      <c r="F100" s="8" t="s">
        <v>38</v>
      </c>
      <c r="G100" s="10">
        <v>13784.0</v>
      </c>
      <c r="H100" s="10">
        <v>3000.0</v>
      </c>
      <c r="I100" s="14"/>
    </row>
    <row r="101">
      <c r="A101" s="8" t="s">
        <v>76</v>
      </c>
      <c r="B101" s="10">
        <v>6500.0</v>
      </c>
      <c r="C101" s="8" t="s">
        <v>36</v>
      </c>
      <c r="D101" s="8" t="s">
        <v>183</v>
      </c>
      <c r="E101" s="8" t="s">
        <v>40</v>
      </c>
      <c r="F101" s="8" t="s">
        <v>29</v>
      </c>
      <c r="G101" s="12"/>
      <c r="H101" s="10">
        <v>0.0</v>
      </c>
      <c r="I101" s="12"/>
    </row>
    <row r="102">
      <c r="A102" s="8" t="s">
        <v>76</v>
      </c>
      <c r="B102" s="10">
        <v>6500.0</v>
      </c>
      <c r="C102" s="8" t="s">
        <v>183</v>
      </c>
      <c r="D102" s="8" t="s">
        <v>186</v>
      </c>
      <c r="E102" s="8">
        <v>9.0</v>
      </c>
      <c r="F102" s="8" t="s">
        <v>49</v>
      </c>
      <c r="G102" s="12"/>
      <c r="H102" s="10">
        <v>3500.0</v>
      </c>
      <c r="I102" s="8" t="s">
        <v>51</v>
      </c>
    </row>
    <row r="103">
      <c r="A103" s="8" t="s">
        <v>76</v>
      </c>
      <c r="B103" s="10">
        <v>6500.0</v>
      </c>
      <c r="C103" s="8" t="s">
        <v>186</v>
      </c>
      <c r="D103" s="8" t="s">
        <v>203</v>
      </c>
      <c r="E103" s="8" t="s">
        <v>204</v>
      </c>
      <c r="F103" s="8" t="s">
        <v>49</v>
      </c>
      <c r="G103" s="12"/>
      <c r="H103" s="10">
        <v>0.0</v>
      </c>
      <c r="I103" s="8" t="s">
        <v>56</v>
      </c>
    </row>
    <row r="104">
      <c r="A104" s="8" t="s">
        <v>76</v>
      </c>
      <c r="B104" s="10">
        <v>6500.0</v>
      </c>
      <c r="C104" s="8" t="s">
        <v>203</v>
      </c>
      <c r="D104" s="8" t="s">
        <v>202</v>
      </c>
      <c r="E104" s="8" t="s">
        <v>40</v>
      </c>
      <c r="F104" s="8" t="s">
        <v>29</v>
      </c>
      <c r="G104" s="12"/>
      <c r="H104" s="10">
        <v>0.0</v>
      </c>
      <c r="I104" s="12"/>
    </row>
    <row r="105">
      <c r="A105" s="8" t="s">
        <v>76</v>
      </c>
      <c r="B105" s="10">
        <v>6500.0</v>
      </c>
      <c r="C105" s="8" t="s">
        <v>202</v>
      </c>
      <c r="D105" s="8" t="s">
        <v>115</v>
      </c>
      <c r="E105" s="8" t="s">
        <v>207</v>
      </c>
      <c r="F105" s="8" t="s">
        <v>49</v>
      </c>
      <c r="G105" s="14"/>
      <c r="H105" s="10">
        <v>0.0</v>
      </c>
      <c r="I105" s="8" t="s">
        <v>56</v>
      </c>
    </row>
    <row r="106">
      <c r="A106" s="8" t="s">
        <v>76</v>
      </c>
      <c r="B106" s="10">
        <v>6500.0</v>
      </c>
      <c r="C106" s="8" t="s">
        <v>115</v>
      </c>
      <c r="D106" s="8" t="s">
        <v>53</v>
      </c>
      <c r="E106" s="8" t="s">
        <v>57</v>
      </c>
      <c r="F106" s="8" t="s">
        <v>29</v>
      </c>
      <c r="G106" s="12"/>
      <c r="H106" s="10">
        <v>0.0</v>
      </c>
      <c r="I106" s="12"/>
    </row>
    <row r="107">
      <c r="A107" s="8" t="s">
        <v>78</v>
      </c>
      <c r="B107" s="10">
        <v>6500.0</v>
      </c>
      <c r="C107" s="8" t="s">
        <v>25</v>
      </c>
      <c r="D107" s="8" t="s">
        <v>26</v>
      </c>
      <c r="E107" s="8" t="s">
        <v>27</v>
      </c>
      <c r="F107" s="8" t="s">
        <v>29</v>
      </c>
      <c r="G107" s="12"/>
      <c r="H107" s="10">
        <v>0.0</v>
      </c>
      <c r="I107" s="14"/>
    </row>
    <row r="108">
      <c r="A108" s="8" t="s">
        <v>78</v>
      </c>
      <c r="B108" s="10">
        <v>6500.0</v>
      </c>
      <c r="C108" s="8" t="s">
        <v>26</v>
      </c>
      <c r="D108" s="8" t="s">
        <v>36</v>
      </c>
      <c r="E108" s="8" t="s">
        <v>37</v>
      </c>
      <c r="F108" s="8" t="s">
        <v>38</v>
      </c>
      <c r="G108" s="10">
        <v>13784.0</v>
      </c>
      <c r="H108" s="10">
        <v>3000.0</v>
      </c>
      <c r="I108" s="14"/>
    </row>
    <row r="109">
      <c r="A109" s="8" t="s">
        <v>78</v>
      </c>
      <c r="B109" s="10">
        <v>6500.0</v>
      </c>
      <c r="C109" s="8" t="s">
        <v>36</v>
      </c>
      <c r="D109" s="8" t="s">
        <v>183</v>
      </c>
      <c r="E109" s="8" t="s">
        <v>40</v>
      </c>
      <c r="F109" s="8" t="s">
        <v>29</v>
      </c>
      <c r="G109" s="12"/>
      <c r="H109" s="10">
        <v>0.0</v>
      </c>
      <c r="I109" s="12"/>
    </row>
    <row r="110">
      <c r="A110" s="8" t="s">
        <v>78</v>
      </c>
      <c r="B110" s="10">
        <v>6500.0</v>
      </c>
      <c r="C110" s="8" t="s">
        <v>183</v>
      </c>
      <c r="D110" s="8" t="s">
        <v>186</v>
      </c>
      <c r="E110" s="8">
        <v>9.0</v>
      </c>
      <c r="F110" s="8" t="s">
        <v>49</v>
      </c>
      <c r="G110" s="12"/>
      <c r="H110" s="10">
        <v>3500.0</v>
      </c>
      <c r="I110" s="8" t="s">
        <v>51</v>
      </c>
    </row>
    <row r="111">
      <c r="A111" s="8" t="s">
        <v>78</v>
      </c>
      <c r="B111" s="10">
        <v>6500.0</v>
      </c>
      <c r="C111" s="8" t="s">
        <v>186</v>
      </c>
      <c r="D111" s="8" t="s">
        <v>52</v>
      </c>
      <c r="E111" s="8" t="s">
        <v>208</v>
      </c>
      <c r="F111" s="8" t="s">
        <v>49</v>
      </c>
      <c r="G111" s="12"/>
      <c r="H111" s="10">
        <v>0.0</v>
      </c>
      <c r="I111" s="8" t="s">
        <v>56</v>
      </c>
    </row>
    <row r="112">
      <c r="A112" s="8" t="s">
        <v>78</v>
      </c>
      <c r="B112" s="10">
        <v>6500.0</v>
      </c>
      <c r="C112" s="8" t="s">
        <v>52</v>
      </c>
      <c r="D112" s="8" t="s">
        <v>53</v>
      </c>
      <c r="E112" s="8">
        <v>1.0</v>
      </c>
      <c r="F112" s="8" t="s">
        <v>49</v>
      </c>
      <c r="G112" s="14"/>
      <c r="H112" s="10">
        <v>0.0</v>
      </c>
      <c r="I112" s="8" t="s">
        <v>56</v>
      </c>
    </row>
    <row r="113">
      <c r="A113" s="8" t="s">
        <v>78</v>
      </c>
      <c r="B113" s="10">
        <v>6500.0</v>
      </c>
      <c r="C113" s="8" t="s">
        <v>53</v>
      </c>
      <c r="D113" s="8" t="s">
        <v>53</v>
      </c>
      <c r="E113" s="8" t="s">
        <v>57</v>
      </c>
      <c r="F113" s="8" t="s">
        <v>29</v>
      </c>
      <c r="G113" s="12"/>
      <c r="H113" s="10">
        <v>0.0</v>
      </c>
      <c r="I113" s="12"/>
    </row>
    <row r="114">
      <c r="A114" s="8" t="s">
        <v>81</v>
      </c>
      <c r="B114" s="10">
        <v>6500.0</v>
      </c>
      <c r="C114" s="8" t="s">
        <v>25</v>
      </c>
      <c r="D114" s="8" t="s">
        <v>26</v>
      </c>
      <c r="E114" s="8" t="s">
        <v>27</v>
      </c>
      <c r="F114" s="8" t="s">
        <v>29</v>
      </c>
      <c r="G114" s="12"/>
      <c r="H114" s="10">
        <v>0.0</v>
      </c>
      <c r="I114" s="14"/>
    </row>
    <row r="115">
      <c r="A115" s="8" t="s">
        <v>81</v>
      </c>
      <c r="B115" s="10">
        <v>6500.0</v>
      </c>
      <c r="C115" s="8" t="s">
        <v>26</v>
      </c>
      <c r="D115" s="8" t="s">
        <v>36</v>
      </c>
      <c r="E115" s="8" t="s">
        <v>37</v>
      </c>
      <c r="F115" s="8" t="s">
        <v>38</v>
      </c>
      <c r="G115" s="10">
        <v>13784.0</v>
      </c>
      <c r="H115" s="10">
        <v>3000.0</v>
      </c>
      <c r="I115" s="14"/>
    </row>
    <row r="116">
      <c r="A116" s="8" t="s">
        <v>81</v>
      </c>
      <c r="B116" s="10">
        <v>6500.0</v>
      </c>
      <c r="C116" s="8" t="s">
        <v>36</v>
      </c>
      <c r="D116" s="8" t="s">
        <v>183</v>
      </c>
      <c r="E116" s="8" t="s">
        <v>40</v>
      </c>
      <c r="F116" s="8" t="s">
        <v>29</v>
      </c>
      <c r="G116" s="12"/>
      <c r="H116" s="10">
        <v>0.0</v>
      </c>
      <c r="I116" s="14"/>
    </row>
    <row r="117">
      <c r="A117" s="8" t="s">
        <v>81</v>
      </c>
      <c r="B117" s="10">
        <v>6500.0</v>
      </c>
      <c r="C117" s="8" t="s">
        <v>183</v>
      </c>
      <c r="D117" s="8" t="s">
        <v>186</v>
      </c>
      <c r="E117" s="8">
        <v>9.0</v>
      </c>
      <c r="F117" s="8" t="s">
        <v>49</v>
      </c>
      <c r="G117" s="12"/>
      <c r="H117" s="10">
        <v>3500.0</v>
      </c>
      <c r="I117" s="8" t="s">
        <v>51</v>
      </c>
    </row>
    <row r="118">
      <c r="A118" s="8" t="s">
        <v>81</v>
      </c>
      <c r="B118" s="10">
        <v>6500.0</v>
      </c>
      <c r="C118" s="8" t="s">
        <v>186</v>
      </c>
      <c r="D118" s="8" t="s">
        <v>199</v>
      </c>
      <c r="E118" s="8">
        <v>9.0</v>
      </c>
      <c r="F118" s="8" t="s">
        <v>49</v>
      </c>
      <c r="G118" s="14"/>
      <c r="H118" s="10">
        <v>0.0</v>
      </c>
      <c r="I118" s="8" t="s">
        <v>56</v>
      </c>
    </row>
    <row r="119">
      <c r="A119" s="8" t="s">
        <v>81</v>
      </c>
      <c r="B119" s="10">
        <v>6500.0</v>
      </c>
      <c r="C119" s="8" t="s">
        <v>199</v>
      </c>
      <c r="D119" s="8" t="s">
        <v>202</v>
      </c>
      <c r="E119" s="8" t="s">
        <v>40</v>
      </c>
      <c r="F119" s="8" t="s">
        <v>29</v>
      </c>
      <c r="G119" s="12"/>
      <c r="H119" s="10">
        <v>0.0</v>
      </c>
      <c r="I119" s="12"/>
    </row>
    <row r="120">
      <c r="A120" s="8" t="s">
        <v>81</v>
      </c>
      <c r="B120" s="10">
        <v>6500.0</v>
      </c>
      <c r="C120" s="8" t="s">
        <v>202</v>
      </c>
      <c r="D120" s="8" t="s">
        <v>52</v>
      </c>
      <c r="E120" s="8" t="s">
        <v>209</v>
      </c>
      <c r="F120" s="8" t="s">
        <v>49</v>
      </c>
      <c r="G120" s="12"/>
      <c r="H120" s="10">
        <v>0.0</v>
      </c>
      <c r="I120" s="8" t="s">
        <v>56</v>
      </c>
    </row>
    <row r="121">
      <c r="A121" s="8" t="s">
        <v>81</v>
      </c>
      <c r="B121" s="10">
        <v>6500.0</v>
      </c>
      <c r="C121" s="8" t="s">
        <v>52</v>
      </c>
      <c r="D121" s="8" t="s">
        <v>53</v>
      </c>
      <c r="E121" s="8">
        <v>1.0</v>
      </c>
      <c r="F121" s="8" t="s">
        <v>49</v>
      </c>
      <c r="G121" s="12"/>
      <c r="H121" s="10">
        <v>0.0</v>
      </c>
      <c r="I121" s="8" t="s">
        <v>56</v>
      </c>
    </row>
    <row r="122">
      <c r="A122" s="8" t="s">
        <v>81</v>
      </c>
      <c r="B122" s="10">
        <v>6500.0</v>
      </c>
      <c r="C122" s="8" t="s">
        <v>53</v>
      </c>
      <c r="D122" s="8" t="s">
        <v>53</v>
      </c>
      <c r="E122" s="8" t="s">
        <v>57</v>
      </c>
      <c r="F122" s="8" t="s">
        <v>29</v>
      </c>
      <c r="G122" s="14"/>
      <c r="H122" s="10">
        <v>0.0</v>
      </c>
      <c r="I122" s="12"/>
    </row>
    <row r="123">
      <c r="A123" s="8" t="s">
        <v>83</v>
      </c>
      <c r="B123" s="10">
        <v>6500.0</v>
      </c>
      <c r="C123" s="8" t="s">
        <v>25</v>
      </c>
      <c r="D123" s="8" t="s">
        <v>26</v>
      </c>
      <c r="E123" s="8" t="s">
        <v>27</v>
      </c>
      <c r="F123" s="8" t="s">
        <v>29</v>
      </c>
      <c r="G123" s="12"/>
      <c r="H123" s="10">
        <v>0.0</v>
      </c>
      <c r="I123" s="12"/>
    </row>
    <row r="124">
      <c r="A124" s="8" t="s">
        <v>83</v>
      </c>
      <c r="B124" s="10">
        <v>6500.0</v>
      </c>
      <c r="C124" s="8" t="s">
        <v>26</v>
      </c>
      <c r="D124" s="8" t="s">
        <v>36</v>
      </c>
      <c r="E124" s="8" t="s">
        <v>37</v>
      </c>
      <c r="F124" s="8" t="s">
        <v>38</v>
      </c>
      <c r="G124" s="10">
        <v>13784.0</v>
      </c>
      <c r="H124" s="10">
        <v>3000.0</v>
      </c>
      <c r="I124" s="12"/>
    </row>
    <row r="125">
      <c r="A125" s="8" t="s">
        <v>83</v>
      </c>
      <c r="B125" s="10">
        <v>6500.0</v>
      </c>
      <c r="C125" s="8" t="s">
        <v>36</v>
      </c>
      <c r="D125" s="8" t="s">
        <v>183</v>
      </c>
      <c r="E125" s="8" t="s">
        <v>40</v>
      </c>
      <c r="F125" s="8" t="s">
        <v>29</v>
      </c>
      <c r="G125" s="12"/>
      <c r="H125" s="10">
        <v>0.0</v>
      </c>
      <c r="I125" s="12"/>
    </row>
    <row r="126">
      <c r="A126" s="8" t="s">
        <v>83</v>
      </c>
      <c r="B126" s="10">
        <v>6500.0</v>
      </c>
      <c r="C126" s="8" t="s">
        <v>183</v>
      </c>
      <c r="D126" s="8" t="s">
        <v>186</v>
      </c>
      <c r="E126" s="8">
        <v>9.0</v>
      </c>
      <c r="F126" s="8" t="s">
        <v>49</v>
      </c>
      <c r="G126" s="12"/>
      <c r="H126" s="10">
        <v>3500.0</v>
      </c>
      <c r="I126" s="8" t="s">
        <v>51</v>
      </c>
    </row>
    <row r="127">
      <c r="A127" s="8" t="s">
        <v>83</v>
      </c>
      <c r="B127" s="10">
        <v>6500.0</v>
      </c>
      <c r="C127" s="8" t="s">
        <v>186</v>
      </c>
      <c r="D127" s="8" t="s">
        <v>199</v>
      </c>
      <c r="E127" s="8">
        <v>9.0</v>
      </c>
      <c r="F127" s="8" t="s">
        <v>49</v>
      </c>
      <c r="G127" s="12"/>
      <c r="H127" s="10">
        <v>0.0</v>
      </c>
      <c r="I127" s="8" t="s">
        <v>56</v>
      </c>
    </row>
    <row r="128">
      <c r="A128" s="8" t="s">
        <v>83</v>
      </c>
      <c r="B128" s="10">
        <v>6500.0</v>
      </c>
      <c r="C128" s="8" t="s">
        <v>199</v>
      </c>
      <c r="D128" s="8" t="s">
        <v>202</v>
      </c>
      <c r="E128" s="8" t="s">
        <v>40</v>
      </c>
      <c r="F128" s="8" t="s">
        <v>29</v>
      </c>
      <c r="G128" s="12"/>
      <c r="H128" s="10">
        <v>0.0</v>
      </c>
      <c r="I128" s="14"/>
    </row>
    <row r="129">
      <c r="A129" s="8" t="s">
        <v>83</v>
      </c>
      <c r="B129" s="10">
        <v>6500.0</v>
      </c>
      <c r="C129" s="8" t="s">
        <v>202</v>
      </c>
      <c r="D129" s="8" t="s">
        <v>115</v>
      </c>
      <c r="E129" s="8" t="s">
        <v>207</v>
      </c>
      <c r="F129" s="8" t="s">
        <v>49</v>
      </c>
      <c r="G129" s="12"/>
      <c r="H129" s="10">
        <v>0.0</v>
      </c>
      <c r="I129" s="8" t="s">
        <v>56</v>
      </c>
    </row>
    <row r="130">
      <c r="A130" s="8" t="s">
        <v>83</v>
      </c>
      <c r="B130" s="10">
        <v>6500.0</v>
      </c>
      <c r="C130" s="8" t="s">
        <v>115</v>
      </c>
      <c r="D130" s="8" t="s">
        <v>53</v>
      </c>
      <c r="E130" s="8" t="s">
        <v>57</v>
      </c>
      <c r="F130" s="8" t="s">
        <v>29</v>
      </c>
      <c r="G130" s="14"/>
      <c r="H130" s="10">
        <v>0.0</v>
      </c>
      <c r="I130" s="12"/>
    </row>
    <row r="131">
      <c r="A131" s="8" t="s">
        <v>85</v>
      </c>
      <c r="B131" s="10">
        <v>6500.0</v>
      </c>
      <c r="C131" s="8" t="s">
        <v>25</v>
      </c>
      <c r="D131" s="8" t="s">
        <v>26</v>
      </c>
      <c r="E131" s="8" t="s">
        <v>27</v>
      </c>
      <c r="F131" s="8" t="s">
        <v>29</v>
      </c>
      <c r="G131" s="12"/>
      <c r="H131" s="10">
        <v>0.0</v>
      </c>
      <c r="I131" s="12"/>
    </row>
    <row r="132">
      <c r="A132" s="8" t="s">
        <v>85</v>
      </c>
      <c r="B132" s="10">
        <v>6500.0</v>
      </c>
      <c r="C132" s="8" t="s">
        <v>26</v>
      </c>
      <c r="D132" s="8" t="s">
        <v>36</v>
      </c>
      <c r="E132" s="8" t="s">
        <v>37</v>
      </c>
      <c r="F132" s="8" t="s">
        <v>38</v>
      </c>
      <c r="G132" s="10">
        <v>13784.0</v>
      </c>
      <c r="H132" s="10">
        <v>3000.0</v>
      </c>
      <c r="I132" s="14"/>
    </row>
    <row r="133">
      <c r="A133" s="8" t="s">
        <v>85</v>
      </c>
      <c r="B133" s="10">
        <v>6500.0</v>
      </c>
      <c r="C133" s="8" t="s">
        <v>36</v>
      </c>
      <c r="D133" s="8" t="s">
        <v>183</v>
      </c>
      <c r="E133" s="8" t="s">
        <v>40</v>
      </c>
      <c r="F133" s="8" t="s">
        <v>29</v>
      </c>
      <c r="G133" s="12"/>
      <c r="H133" s="10">
        <v>0.0</v>
      </c>
      <c r="I133" s="14"/>
    </row>
    <row r="134">
      <c r="A134" s="8" t="s">
        <v>85</v>
      </c>
      <c r="B134" s="10">
        <v>6500.0</v>
      </c>
      <c r="C134" s="8" t="s">
        <v>183</v>
      </c>
      <c r="D134" s="8" t="s">
        <v>186</v>
      </c>
      <c r="E134" s="8">
        <v>9.0</v>
      </c>
      <c r="F134" s="8" t="s">
        <v>49</v>
      </c>
      <c r="G134" s="12"/>
      <c r="H134" s="10">
        <v>3500.0</v>
      </c>
      <c r="I134" s="8" t="s">
        <v>51</v>
      </c>
    </row>
    <row r="135">
      <c r="A135" s="8" t="s">
        <v>85</v>
      </c>
      <c r="B135" s="10">
        <v>6500.0</v>
      </c>
      <c r="C135" s="8" t="s">
        <v>186</v>
      </c>
      <c r="D135" s="8" t="s">
        <v>210</v>
      </c>
      <c r="E135" s="8" t="s">
        <v>211</v>
      </c>
      <c r="F135" s="8" t="s">
        <v>49</v>
      </c>
      <c r="G135" s="14"/>
      <c r="H135" s="10">
        <v>0.0</v>
      </c>
      <c r="I135" s="8" t="s">
        <v>56</v>
      </c>
    </row>
    <row r="136">
      <c r="A136" s="8" t="s">
        <v>85</v>
      </c>
      <c r="B136" s="10">
        <v>6500.0</v>
      </c>
      <c r="C136" s="8" t="s">
        <v>210</v>
      </c>
      <c r="D136" s="8" t="s">
        <v>53</v>
      </c>
      <c r="E136" s="8">
        <v>1.0</v>
      </c>
      <c r="F136" s="8" t="s">
        <v>49</v>
      </c>
      <c r="G136" s="12"/>
      <c r="H136" s="10">
        <v>0.0</v>
      </c>
      <c r="I136" s="8" t="s">
        <v>56</v>
      </c>
    </row>
    <row r="137">
      <c r="A137" s="8" t="s">
        <v>85</v>
      </c>
      <c r="B137" s="10">
        <v>6500.0</v>
      </c>
      <c r="C137" s="8" t="s">
        <v>53</v>
      </c>
      <c r="D137" s="8" t="s">
        <v>53</v>
      </c>
      <c r="E137" s="8" t="s">
        <v>57</v>
      </c>
      <c r="F137" s="8" t="s">
        <v>29</v>
      </c>
      <c r="G137" s="12"/>
      <c r="H137" s="10">
        <v>0.0</v>
      </c>
      <c r="I137" s="14"/>
    </row>
    <row r="138">
      <c r="A138" s="8" t="s">
        <v>88</v>
      </c>
      <c r="B138" s="10">
        <v>11500.0</v>
      </c>
      <c r="C138" s="8" t="s">
        <v>25</v>
      </c>
      <c r="D138" s="8" t="s">
        <v>26</v>
      </c>
      <c r="E138" s="8" t="s">
        <v>27</v>
      </c>
      <c r="F138" s="8" t="s">
        <v>29</v>
      </c>
      <c r="G138" s="12"/>
      <c r="H138" s="10">
        <v>0.0</v>
      </c>
      <c r="I138" s="14"/>
    </row>
    <row r="139">
      <c r="A139" s="8" t="s">
        <v>88</v>
      </c>
      <c r="B139" s="10">
        <v>11500.0</v>
      </c>
      <c r="C139" s="8" t="s">
        <v>26</v>
      </c>
      <c r="D139" s="8" t="s">
        <v>36</v>
      </c>
      <c r="E139" s="8" t="s">
        <v>37</v>
      </c>
      <c r="F139" s="8" t="s">
        <v>38</v>
      </c>
      <c r="G139" s="10">
        <v>13784.0</v>
      </c>
      <c r="H139" s="10">
        <v>3000.0</v>
      </c>
      <c r="I139" s="12"/>
    </row>
    <row r="140">
      <c r="A140" s="8" t="s">
        <v>88</v>
      </c>
      <c r="B140" s="10">
        <v>11500.0</v>
      </c>
      <c r="C140" s="8" t="s">
        <v>36</v>
      </c>
      <c r="D140" s="8" t="s">
        <v>183</v>
      </c>
      <c r="E140" s="8" t="s">
        <v>40</v>
      </c>
      <c r="F140" s="8" t="s">
        <v>29</v>
      </c>
      <c r="G140" s="14"/>
      <c r="H140" s="10">
        <v>0.0</v>
      </c>
      <c r="I140" s="12"/>
    </row>
    <row r="141">
      <c r="A141" s="8" t="s">
        <v>88</v>
      </c>
      <c r="B141" s="10">
        <v>11500.0</v>
      </c>
      <c r="C141" s="8" t="s">
        <v>183</v>
      </c>
      <c r="D141" s="8" t="s">
        <v>213</v>
      </c>
      <c r="E141" s="8">
        <v>9.0</v>
      </c>
      <c r="F141" s="8" t="s">
        <v>49</v>
      </c>
      <c r="G141" s="12"/>
      <c r="H141" s="10">
        <v>3500.0</v>
      </c>
      <c r="I141" s="8" t="s">
        <v>51</v>
      </c>
    </row>
    <row r="142">
      <c r="A142" s="8" t="s">
        <v>88</v>
      </c>
      <c r="B142" s="10">
        <v>11500.0</v>
      </c>
      <c r="C142" s="8" t="s">
        <v>213</v>
      </c>
      <c r="D142" s="8" t="s">
        <v>214</v>
      </c>
      <c r="E142" s="8" t="s">
        <v>40</v>
      </c>
      <c r="F142" s="8" t="s">
        <v>29</v>
      </c>
      <c r="G142" s="12"/>
      <c r="H142" s="10">
        <v>0.0</v>
      </c>
      <c r="I142" s="14"/>
    </row>
    <row r="143">
      <c r="A143" s="8" t="s">
        <v>88</v>
      </c>
      <c r="B143" s="10">
        <v>11500.0</v>
      </c>
      <c r="C143" s="8" t="s">
        <v>214</v>
      </c>
      <c r="D143" s="8" t="s">
        <v>69</v>
      </c>
      <c r="E143" s="8" t="s">
        <v>71</v>
      </c>
      <c r="F143" s="8" t="s">
        <v>73</v>
      </c>
      <c r="G143" s="10">
        <v>4312.0</v>
      </c>
      <c r="H143" s="10">
        <v>5000.0</v>
      </c>
      <c r="I143" s="14"/>
    </row>
    <row r="144">
      <c r="A144" s="8" t="s">
        <v>88</v>
      </c>
      <c r="B144" s="10">
        <v>11500.0</v>
      </c>
      <c r="C144" s="8" t="s">
        <v>69</v>
      </c>
      <c r="D144" s="8" t="s">
        <v>53</v>
      </c>
      <c r="E144" s="8" t="s">
        <v>57</v>
      </c>
      <c r="F144" s="8" t="s">
        <v>29</v>
      </c>
      <c r="G144" s="12"/>
      <c r="H144" s="10">
        <v>0.0</v>
      </c>
      <c r="I144" s="12"/>
    </row>
    <row r="145">
      <c r="A145" s="8" t="s">
        <v>90</v>
      </c>
      <c r="B145" s="10">
        <v>6500.0</v>
      </c>
      <c r="C145" s="8" t="s">
        <v>25</v>
      </c>
      <c r="D145" s="8" t="s">
        <v>26</v>
      </c>
      <c r="E145" s="8" t="s">
        <v>27</v>
      </c>
      <c r="F145" s="8" t="s">
        <v>29</v>
      </c>
      <c r="G145" s="14"/>
      <c r="H145" s="10">
        <v>0.0</v>
      </c>
      <c r="I145" s="12"/>
    </row>
    <row r="146">
      <c r="A146" s="8" t="s">
        <v>90</v>
      </c>
      <c r="B146" s="10">
        <v>6500.0</v>
      </c>
      <c r="C146" s="8" t="s">
        <v>26</v>
      </c>
      <c r="D146" s="8" t="s">
        <v>36</v>
      </c>
      <c r="E146" s="8" t="s">
        <v>37</v>
      </c>
      <c r="F146" s="8" t="s">
        <v>38</v>
      </c>
      <c r="G146" s="10">
        <v>13784.0</v>
      </c>
      <c r="H146" s="10">
        <v>3000.0</v>
      </c>
      <c r="I146" s="12"/>
    </row>
    <row r="147">
      <c r="A147" s="8" t="s">
        <v>90</v>
      </c>
      <c r="B147" s="10">
        <v>6500.0</v>
      </c>
      <c r="C147" s="8" t="s">
        <v>36</v>
      </c>
      <c r="D147" s="8" t="s">
        <v>183</v>
      </c>
      <c r="E147" s="8" t="s">
        <v>40</v>
      </c>
      <c r="F147" s="8" t="s">
        <v>29</v>
      </c>
      <c r="G147" s="12"/>
      <c r="H147" s="10">
        <v>0.0</v>
      </c>
      <c r="I147" s="14"/>
    </row>
    <row r="148">
      <c r="A148" s="8" t="s">
        <v>90</v>
      </c>
      <c r="B148" s="10">
        <v>6500.0</v>
      </c>
      <c r="C148" s="8" t="s">
        <v>183</v>
      </c>
      <c r="D148" s="8" t="s">
        <v>199</v>
      </c>
      <c r="E148" s="8">
        <v>9.0</v>
      </c>
      <c r="F148" s="8" t="s">
        <v>49</v>
      </c>
      <c r="G148" s="12"/>
      <c r="H148" s="10">
        <v>3500.0</v>
      </c>
      <c r="I148" s="8" t="s">
        <v>51</v>
      </c>
    </row>
    <row r="149">
      <c r="A149" s="8" t="s">
        <v>90</v>
      </c>
      <c r="B149" s="10">
        <v>6500.0</v>
      </c>
      <c r="C149" s="8" t="s">
        <v>199</v>
      </c>
      <c r="D149" s="8" t="s">
        <v>202</v>
      </c>
      <c r="E149" s="8" t="s">
        <v>40</v>
      </c>
      <c r="F149" s="8" t="s">
        <v>29</v>
      </c>
      <c r="G149" s="12"/>
      <c r="H149" s="10">
        <v>0.0</v>
      </c>
      <c r="I149" s="14"/>
    </row>
    <row r="150">
      <c r="A150" s="8" t="s">
        <v>90</v>
      </c>
      <c r="B150" s="10">
        <v>6500.0</v>
      </c>
      <c r="C150" s="8" t="s">
        <v>202</v>
      </c>
      <c r="D150" s="8" t="s">
        <v>115</v>
      </c>
      <c r="E150" s="8" t="s">
        <v>207</v>
      </c>
      <c r="F150" s="8" t="s">
        <v>49</v>
      </c>
      <c r="G150" s="12"/>
      <c r="H150" s="10">
        <v>0.0</v>
      </c>
      <c r="I150" s="8" t="s">
        <v>56</v>
      </c>
    </row>
    <row r="151">
      <c r="A151" s="8" t="s">
        <v>90</v>
      </c>
      <c r="B151" s="10">
        <v>6500.0</v>
      </c>
      <c r="C151" s="8" t="s">
        <v>115</v>
      </c>
      <c r="D151" s="8" t="s">
        <v>53</v>
      </c>
      <c r="E151" s="8" t="s">
        <v>57</v>
      </c>
      <c r="F151" s="8" t="s">
        <v>29</v>
      </c>
      <c r="G151" s="14"/>
      <c r="H151" s="10">
        <v>0.0</v>
      </c>
      <c r="I151" s="12"/>
    </row>
    <row r="152">
      <c r="A152" s="8" t="s">
        <v>92</v>
      </c>
      <c r="B152" s="10">
        <v>6500.0</v>
      </c>
      <c r="C152" s="8" t="s">
        <v>25</v>
      </c>
      <c r="D152" s="8" t="s">
        <v>26</v>
      </c>
      <c r="E152" s="8" t="s">
        <v>27</v>
      </c>
      <c r="F152" s="8" t="s">
        <v>29</v>
      </c>
      <c r="G152" s="12"/>
      <c r="H152" s="10">
        <v>0.0</v>
      </c>
      <c r="I152" s="12"/>
    </row>
    <row r="153">
      <c r="A153" s="8" t="s">
        <v>92</v>
      </c>
      <c r="B153" s="10">
        <v>6500.0</v>
      </c>
      <c r="C153" s="8" t="s">
        <v>26</v>
      </c>
      <c r="D153" s="8" t="s">
        <v>36</v>
      </c>
      <c r="E153" s="8" t="s">
        <v>37</v>
      </c>
      <c r="F153" s="8" t="s">
        <v>38</v>
      </c>
      <c r="G153" s="10">
        <v>13784.0</v>
      </c>
      <c r="H153" s="10">
        <v>3000.0</v>
      </c>
      <c r="I153" s="14"/>
    </row>
    <row r="154">
      <c r="A154" s="8" t="s">
        <v>92</v>
      </c>
      <c r="B154" s="10">
        <v>6500.0</v>
      </c>
      <c r="C154" s="8" t="s">
        <v>36</v>
      </c>
      <c r="D154" s="8" t="s">
        <v>183</v>
      </c>
      <c r="E154" s="8" t="s">
        <v>40</v>
      </c>
      <c r="F154" s="8" t="s">
        <v>29</v>
      </c>
      <c r="G154" s="12"/>
      <c r="H154" s="10">
        <v>0.0</v>
      </c>
      <c r="I154" s="14"/>
    </row>
    <row r="155">
      <c r="A155" s="8" t="s">
        <v>92</v>
      </c>
      <c r="B155" s="10">
        <v>6500.0</v>
      </c>
      <c r="C155" s="8" t="s">
        <v>183</v>
      </c>
      <c r="D155" s="8" t="s">
        <v>210</v>
      </c>
      <c r="E155" s="8" t="s">
        <v>211</v>
      </c>
      <c r="F155" s="8" t="s">
        <v>49</v>
      </c>
      <c r="G155" s="12"/>
      <c r="H155" s="10">
        <v>3500.0</v>
      </c>
      <c r="I155" s="8" t="s">
        <v>51</v>
      </c>
    </row>
    <row r="156">
      <c r="A156" s="8" t="s">
        <v>92</v>
      </c>
      <c r="B156" s="10">
        <v>6500.0</v>
      </c>
      <c r="C156" s="8" t="s">
        <v>210</v>
      </c>
      <c r="D156" s="8" t="s">
        <v>53</v>
      </c>
      <c r="E156" s="8">
        <v>1.0</v>
      </c>
      <c r="F156" s="8" t="s">
        <v>49</v>
      </c>
      <c r="G156" s="12"/>
      <c r="H156" s="10">
        <v>0.0</v>
      </c>
      <c r="I156" s="8" t="s">
        <v>56</v>
      </c>
    </row>
    <row r="157">
      <c r="A157" s="8" t="s">
        <v>92</v>
      </c>
      <c r="B157" s="10">
        <v>6500.0</v>
      </c>
      <c r="C157" s="8" t="s">
        <v>53</v>
      </c>
      <c r="D157" s="8" t="s">
        <v>53</v>
      </c>
      <c r="E157" s="8" t="s">
        <v>57</v>
      </c>
      <c r="F157" s="8" t="s">
        <v>29</v>
      </c>
      <c r="G157" s="12"/>
      <c r="H157" s="10">
        <v>0.0</v>
      </c>
      <c r="I157" s="12"/>
    </row>
    <row r="158">
      <c r="A158" s="8" t="s">
        <v>96</v>
      </c>
      <c r="B158" s="10">
        <v>6500.0</v>
      </c>
      <c r="C158" s="8" t="s">
        <v>25</v>
      </c>
      <c r="D158" s="8" t="s">
        <v>26</v>
      </c>
      <c r="E158" s="8" t="s">
        <v>27</v>
      </c>
      <c r="F158" s="8" t="s">
        <v>29</v>
      </c>
      <c r="G158" s="14"/>
      <c r="H158" s="10">
        <v>0.0</v>
      </c>
      <c r="I158" s="12"/>
    </row>
    <row r="159">
      <c r="A159" s="8" t="s">
        <v>96</v>
      </c>
      <c r="B159" s="10">
        <v>6500.0</v>
      </c>
      <c r="C159" s="8" t="s">
        <v>26</v>
      </c>
      <c r="D159" s="8" t="s">
        <v>36</v>
      </c>
      <c r="E159" s="8" t="s">
        <v>37</v>
      </c>
      <c r="F159" s="8" t="s">
        <v>38</v>
      </c>
      <c r="G159" s="10">
        <v>13784.0</v>
      </c>
      <c r="H159" s="10">
        <v>3000.0</v>
      </c>
      <c r="I159" s="12"/>
    </row>
    <row r="160">
      <c r="A160" s="8" t="s">
        <v>96</v>
      </c>
      <c r="B160" s="10">
        <v>6500.0</v>
      </c>
      <c r="C160" s="8" t="s">
        <v>36</v>
      </c>
      <c r="D160" s="8" t="s">
        <v>183</v>
      </c>
      <c r="E160" s="8" t="s">
        <v>40</v>
      </c>
      <c r="F160" s="8" t="s">
        <v>29</v>
      </c>
      <c r="G160" s="14"/>
      <c r="H160" s="10">
        <v>0.0</v>
      </c>
      <c r="I160" s="12"/>
    </row>
    <row r="161">
      <c r="A161" s="8" t="s">
        <v>96</v>
      </c>
      <c r="B161" s="10">
        <v>6500.0</v>
      </c>
      <c r="C161" s="8" t="s">
        <v>183</v>
      </c>
      <c r="D161" s="8" t="s">
        <v>215</v>
      </c>
      <c r="E161" s="8" t="s">
        <v>211</v>
      </c>
      <c r="F161" s="8" t="s">
        <v>49</v>
      </c>
      <c r="G161" s="12"/>
      <c r="H161" s="10">
        <v>3500.0</v>
      </c>
      <c r="I161" s="8" t="s">
        <v>51</v>
      </c>
    </row>
    <row r="162">
      <c r="A162" s="8" t="s">
        <v>96</v>
      </c>
      <c r="B162" s="10">
        <v>6500.0</v>
      </c>
      <c r="C162" s="8" t="s">
        <v>215</v>
      </c>
      <c r="D162" s="8" t="s">
        <v>53</v>
      </c>
      <c r="E162" s="8">
        <v>1.0</v>
      </c>
      <c r="F162" s="8" t="s">
        <v>49</v>
      </c>
      <c r="G162" s="14"/>
      <c r="H162" s="10">
        <v>0.0</v>
      </c>
      <c r="I162" s="8" t="s">
        <v>56</v>
      </c>
    </row>
    <row r="163">
      <c r="A163" s="8" t="s">
        <v>96</v>
      </c>
      <c r="B163" s="10">
        <v>6500.0</v>
      </c>
      <c r="C163" s="8" t="s">
        <v>53</v>
      </c>
      <c r="D163" s="8" t="s">
        <v>53</v>
      </c>
      <c r="E163" s="8" t="s">
        <v>57</v>
      </c>
      <c r="F163" s="8" t="s">
        <v>29</v>
      </c>
      <c r="G163" s="12"/>
      <c r="H163" s="10">
        <v>0.0</v>
      </c>
      <c r="I163" s="12"/>
    </row>
    <row r="164">
      <c r="A164" s="8" t="s">
        <v>99</v>
      </c>
      <c r="B164" s="10">
        <v>6500.0</v>
      </c>
      <c r="C164" s="8" t="s">
        <v>25</v>
      </c>
      <c r="D164" s="8" t="s">
        <v>26</v>
      </c>
      <c r="E164" s="8" t="s">
        <v>27</v>
      </c>
      <c r="F164" s="8" t="s">
        <v>29</v>
      </c>
      <c r="G164" s="14"/>
      <c r="H164" s="10">
        <v>0.0</v>
      </c>
      <c r="I164" s="12"/>
    </row>
    <row r="165">
      <c r="A165" s="8" t="s">
        <v>99</v>
      </c>
      <c r="B165" s="10">
        <v>6500.0</v>
      </c>
      <c r="C165" s="8" t="s">
        <v>26</v>
      </c>
      <c r="D165" s="8" t="s">
        <v>36</v>
      </c>
      <c r="E165" s="8" t="s">
        <v>37</v>
      </c>
      <c r="F165" s="8" t="s">
        <v>38</v>
      </c>
      <c r="G165" s="10">
        <v>13784.0</v>
      </c>
      <c r="H165" s="10">
        <v>3000.0</v>
      </c>
      <c r="I165" s="12"/>
    </row>
    <row r="166">
      <c r="A166" s="8" t="s">
        <v>99</v>
      </c>
      <c r="B166" s="10">
        <v>6500.0</v>
      </c>
      <c r="C166" s="8" t="s">
        <v>36</v>
      </c>
      <c r="D166" s="8" t="s">
        <v>183</v>
      </c>
      <c r="E166" s="8" t="s">
        <v>40</v>
      </c>
      <c r="F166" s="8" t="s">
        <v>29</v>
      </c>
      <c r="G166" s="14"/>
      <c r="H166" s="10">
        <v>0.0</v>
      </c>
      <c r="I166" s="12"/>
    </row>
    <row r="167">
      <c r="A167" s="8" t="s">
        <v>99</v>
      </c>
      <c r="B167" s="10">
        <v>6500.0</v>
      </c>
      <c r="C167" s="8" t="s">
        <v>183</v>
      </c>
      <c r="D167" s="8" t="s">
        <v>52</v>
      </c>
      <c r="E167" s="8" t="s">
        <v>208</v>
      </c>
      <c r="F167" s="8" t="s">
        <v>49</v>
      </c>
      <c r="G167" s="12"/>
      <c r="H167" s="10">
        <v>3500.0</v>
      </c>
      <c r="I167" s="8" t="s">
        <v>51</v>
      </c>
    </row>
    <row r="168">
      <c r="A168" s="8" t="s">
        <v>99</v>
      </c>
      <c r="B168" s="10">
        <v>6500.0</v>
      </c>
      <c r="C168" s="8" t="s">
        <v>52</v>
      </c>
      <c r="D168" s="8" t="s">
        <v>53</v>
      </c>
      <c r="E168" s="8">
        <v>1.0</v>
      </c>
      <c r="F168" s="8" t="s">
        <v>49</v>
      </c>
      <c r="G168" s="12"/>
      <c r="H168" s="10">
        <v>0.0</v>
      </c>
      <c r="I168" s="8" t="s">
        <v>56</v>
      </c>
    </row>
    <row r="169">
      <c r="A169" s="8" t="s">
        <v>99</v>
      </c>
      <c r="B169" s="10">
        <v>6500.0</v>
      </c>
      <c r="C169" s="8" t="s">
        <v>53</v>
      </c>
      <c r="D169" s="8" t="s">
        <v>53</v>
      </c>
      <c r="E169" s="8" t="s">
        <v>57</v>
      </c>
      <c r="F169" s="8" t="s">
        <v>29</v>
      </c>
      <c r="G169" s="12"/>
      <c r="H169" s="10">
        <v>0.0</v>
      </c>
      <c r="I169" s="12"/>
    </row>
    <row r="170">
      <c r="A170" s="8" t="s">
        <v>102</v>
      </c>
      <c r="B170" s="10">
        <v>6500.0</v>
      </c>
      <c r="C170" s="8" t="s">
        <v>25</v>
      </c>
      <c r="D170" s="8" t="s">
        <v>26</v>
      </c>
      <c r="E170" s="8" t="s">
        <v>27</v>
      </c>
      <c r="F170" s="8" t="s">
        <v>29</v>
      </c>
      <c r="G170" s="14"/>
      <c r="H170" s="10">
        <v>0.0</v>
      </c>
      <c r="I170" s="12"/>
    </row>
    <row r="171">
      <c r="A171" s="8" t="s">
        <v>102</v>
      </c>
      <c r="B171" s="10">
        <v>6500.0</v>
      </c>
      <c r="C171" s="8" t="s">
        <v>26</v>
      </c>
      <c r="D171" s="8" t="s">
        <v>36</v>
      </c>
      <c r="E171" s="8" t="s">
        <v>37</v>
      </c>
      <c r="F171" s="8" t="s">
        <v>38</v>
      </c>
      <c r="G171" s="10">
        <v>13784.0</v>
      </c>
      <c r="H171" s="10">
        <v>3000.0</v>
      </c>
      <c r="I171" s="12"/>
    </row>
    <row r="172">
      <c r="A172" s="8" t="s">
        <v>102</v>
      </c>
      <c r="B172" s="10">
        <v>6500.0</v>
      </c>
      <c r="C172" s="8" t="s">
        <v>36</v>
      </c>
      <c r="D172" s="8" t="s">
        <v>183</v>
      </c>
      <c r="E172" s="8" t="s">
        <v>40</v>
      </c>
      <c r="F172" s="8" t="s">
        <v>29</v>
      </c>
      <c r="G172" s="12"/>
      <c r="H172" s="10">
        <v>0.0</v>
      </c>
      <c r="I172" s="14"/>
    </row>
    <row r="173">
      <c r="A173" s="8" t="s">
        <v>102</v>
      </c>
      <c r="B173" s="10">
        <v>6500.0</v>
      </c>
      <c r="C173" s="8" t="s">
        <v>183</v>
      </c>
      <c r="D173" s="8" t="s">
        <v>216</v>
      </c>
      <c r="E173" s="8">
        <v>9.0</v>
      </c>
      <c r="F173" s="8" t="s">
        <v>49</v>
      </c>
      <c r="G173" s="12"/>
      <c r="H173" s="10">
        <v>3500.0</v>
      </c>
      <c r="I173" s="8" t="s">
        <v>51</v>
      </c>
    </row>
    <row r="174">
      <c r="A174" s="8" t="s">
        <v>102</v>
      </c>
      <c r="B174" s="10">
        <v>6500.0</v>
      </c>
      <c r="C174" s="8" t="s">
        <v>216</v>
      </c>
      <c r="D174" s="8" t="s">
        <v>217</v>
      </c>
      <c r="E174" s="8" t="s">
        <v>40</v>
      </c>
      <c r="F174" s="8" t="s">
        <v>29</v>
      </c>
      <c r="G174" s="12"/>
      <c r="H174" s="10">
        <v>0.0</v>
      </c>
      <c r="I174" s="14"/>
    </row>
    <row r="175">
      <c r="A175" s="8" t="s">
        <v>102</v>
      </c>
      <c r="B175" s="10">
        <v>6500.0</v>
      </c>
      <c r="C175" s="8" t="s">
        <v>217</v>
      </c>
      <c r="D175" s="8" t="s">
        <v>218</v>
      </c>
      <c r="E175" s="8" t="s">
        <v>219</v>
      </c>
      <c r="F175" s="8" t="s">
        <v>49</v>
      </c>
      <c r="G175" s="12"/>
      <c r="H175" s="10">
        <v>0.0</v>
      </c>
      <c r="I175" s="8" t="s">
        <v>56</v>
      </c>
    </row>
    <row r="176">
      <c r="A176" s="8" t="s">
        <v>102</v>
      </c>
      <c r="B176" s="10">
        <v>6500.0</v>
      </c>
      <c r="C176" s="8" t="s">
        <v>218</v>
      </c>
      <c r="D176" s="8" t="s">
        <v>53</v>
      </c>
      <c r="E176" s="8" t="s">
        <v>57</v>
      </c>
      <c r="F176" s="8" t="s">
        <v>29</v>
      </c>
      <c r="G176" s="14"/>
      <c r="H176" s="10">
        <v>0.0</v>
      </c>
      <c r="I176" s="12"/>
    </row>
    <row r="177">
      <c r="A177" s="8" t="s">
        <v>104</v>
      </c>
      <c r="B177" s="10">
        <v>6500.0</v>
      </c>
      <c r="C177" s="8" t="s">
        <v>25</v>
      </c>
      <c r="D177" s="8" t="s">
        <v>26</v>
      </c>
      <c r="E177" s="8" t="s">
        <v>27</v>
      </c>
      <c r="F177" s="8" t="s">
        <v>29</v>
      </c>
      <c r="G177" s="12"/>
      <c r="H177" s="10">
        <v>0.0</v>
      </c>
      <c r="I177" s="12"/>
    </row>
    <row r="178">
      <c r="A178" s="8" t="s">
        <v>104</v>
      </c>
      <c r="B178" s="10">
        <v>6500.0</v>
      </c>
      <c r="C178" s="8" t="s">
        <v>26</v>
      </c>
      <c r="D178" s="8" t="s">
        <v>151</v>
      </c>
      <c r="E178" s="8" t="s">
        <v>37</v>
      </c>
      <c r="F178" s="8" t="s">
        <v>38</v>
      </c>
      <c r="G178" s="10">
        <v>15581.0</v>
      </c>
      <c r="H178" s="10">
        <v>3000.0</v>
      </c>
      <c r="I178" s="12"/>
    </row>
    <row r="179">
      <c r="A179" s="8" t="s">
        <v>104</v>
      </c>
      <c r="B179" s="10">
        <v>6500.0</v>
      </c>
      <c r="C179" s="8" t="s">
        <v>151</v>
      </c>
      <c r="D179" s="8" t="s">
        <v>152</v>
      </c>
      <c r="E179" s="8" t="s">
        <v>40</v>
      </c>
      <c r="F179" s="8" t="s">
        <v>29</v>
      </c>
      <c r="G179" s="12"/>
      <c r="H179" s="10">
        <v>0.0</v>
      </c>
      <c r="I179" s="12"/>
    </row>
    <row r="180">
      <c r="A180" s="8" t="s">
        <v>104</v>
      </c>
      <c r="B180" s="10">
        <v>6500.0</v>
      </c>
      <c r="C180" s="8" t="s">
        <v>152</v>
      </c>
      <c r="D180" s="8" t="s">
        <v>43</v>
      </c>
      <c r="E180" s="8" t="s">
        <v>220</v>
      </c>
      <c r="F180" s="8" t="s">
        <v>49</v>
      </c>
      <c r="G180" s="12"/>
      <c r="H180" s="10">
        <v>3500.0</v>
      </c>
      <c r="I180" s="8" t="s">
        <v>51</v>
      </c>
    </row>
    <row r="181">
      <c r="A181" s="8" t="s">
        <v>104</v>
      </c>
      <c r="B181" s="10">
        <v>6500.0</v>
      </c>
      <c r="C181" s="8" t="s">
        <v>43</v>
      </c>
      <c r="D181" s="8" t="s">
        <v>46</v>
      </c>
      <c r="E181" s="8" t="s">
        <v>47</v>
      </c>
      <c r="F181" s="8" t="s">
        <v>49</v>
      </c>
      <c r="G181" s="12"/>
      <c r="H181" s="10">
        <v>0.0</v>
      </c>
      <c r="I181" s="8" t="s">
        <v>56</v>
      </c>
    </row>
    <row r="182">
      <c r="A182" s="8" t="s">
        <v>104</v>
      </c>
      <c r="B182" s="10">
        <v>6500.0</v>
      </c>
      <c r="C182" s="8" t="s">
        <v>46</v>
      </c>
      <c r="D182" s="8" t="s">
        <v>52</v>
      </c>
      <c r="E182" s="8" t="s">
        <v>40</v>
      </c>
      <c r="F182" s="8" t="s">
        <v>29</v>
      </c>
      <c r="G182" s="12"/>
      <c r="H182" s="10">
        <v>0.0</v>
      </c>
      <c r="I182" s="14"/>
    </row>
    <row r="183">
      <c r="A183" s="8" t="s">
        <v>104</v>
      </c>
      <c r="B183" s="10">
        <v>6500.0</v>
      </c>
      <c r="C183" s="8" t="s">
        <v>52</v>
      </c>
      <c r="D183" s="8" t="s">
        <v>53</v>
      </c>
      <c r="E183" s="8">
        <v>1.0</v>
      </c>
      <c r="F183" s="8" t="s">
        <v>49</v>
      </c>
      <c r="G183" s="12"/>
      <c r="H183" s="10">
        <v>0.0</v>
      </c>
      <c r="I183" s="8" t="s">
        <v>56</v>
      </c>
    </row>
    <row r="184">
      <c r="A184" s="8" t="s">
        <v>104</v>
      </c>
      <c r="B184" s="10">
        <v>6500.0</v>
      </c>
      <c r="C184" s="8" t="s">
        <v>53</v>
      </c>
      <c r="D184" s="8" t="s">
        <v>53</v>
      </c>
      <c r="E184" s="8" t="s">
        <v>57</v>
      </c>
      <c r="F184" s="8" t="s">
        <v>29</v>
      </c>
      <c r="G184" s="14"/>
      <c r="H184" s="10">
        <v>0.0</v>
      </c>
      <c r="I184" s="12"/>
    </row>
    <row r="185">
      <c r="A185" s="8" t="s">
        <v>106</v>
      </c>
      <c r="B185" s="10">
        <v>16000.0</v>
      </c>
      <c r="C185" s="8" t="s">
        <v>25</v>
      </c>
      <c r="D185" s="8" t="s">
        <v>26</v>
      </c>
      <c r="E185" s="8" t="s">
        <v>27</v>
      </c>
      <c r="F185" s="8" t="s">
        <v>29</v>
      </c>
      <c r="G185" s="12"/>
      <c r="H185" s="10">
        <v>0.0</v>
      </c>
      <c r="I185" s="12"/>
    </row>
    <row r="186">
      <c r="A186" s="8" t="s">
        <v>106</v>
      </c>
      <c r="B186" s="10">
        <v>16000.0</v>
      </c>
      <c r="C186" s="8" t="s">
        <v>26</v>
      </c>
      <c r="D186" s="8" t="s">
        <v>36</v>
      </c>
      <c r="E186" s="8" t="s">
        <v>37</v>
      </c>
      <c r="F186" s="8" t="s">
        <v>38</v>
      </c>
      <c r="G186" s="10">
        <v>13784.0</v>
      </c>
      <c r="H186" s="10">
        <v>3000.0</v>
      </c>
      <c r="I186" s="12"/>
    </row>
    <row r="187">
      <c r="A187" s="8" t="s">
        <v>106</v>
      </c>
      <c r="B187" s="10">
        <v>16000.0</v>
      </c>
      <c r="C187" s="8" t="s">
        <v>36</v>
      </c>
      <c r="D187" s="8" t="s">
        <v>60</v>
      </c>
      <c r="E187" s="8" t="s">
        <v>37</v>
      </c>
      <c r="F187" s="8" t="s">
        <v>38</v>
      </c>
      <c r="G187" s="10">
        <v>3951.0</v>
      </c>
      <c r="H187" s="10">
        <v>3000.0</v>
      </c>
      <c r="I187" s="12"/>
    </row>
    <row r="188">
      <c r="A188" s="8" t="s">
        <v>106</v>
      </c>
      <c r="B188" s="10">
        <v>16000.0</v>
      </c>
      <c r="C188" s="8" t="s">
        <v>60</v>
      </c>
      <c r="D188" s="8" t="s">
        <v>63</v>
      </c>
      <c r="E188" s="8" t="s">
        <v>65</v>
      </c>
      <c r="F188" s="8" t="s">
        <v>38</v>
      </c>
      <c r="G188" s="10">
        <v>3141.0</v>
      </c>
      <c r="H188" s="10">
        <v>3000.0</v>
      </c>
      <c r="I188" s="14"/>
    </row>
    <row r="189">
      <c r="A189" s="8" t="s">
        <v>106</v>
      </c>
      <c r="B189" s="10">
        <v>16000.0</v>
      </c>
      <c r="C189" s="8" t="s">
        <v>63</v>
      </c>
      <c r="D189" s="8" t="s">
        <v>66</v>
      </c>
      <c r="E189" s="8" t="s">
        <v>40</v>
      </c>
      <c r="F189" s="8" t="s">
        <v>29</v>
      </c>
      <c r="G189" s="12"/>
      <c r="H189" s="10">
        <v>0.0</v>
      </c>
      <c r="I189" s="12"/>
    </row>
    <row r="190">
      <c r="A190" s="8" t="s">
        <v>106</v>
      </c>
      <c r="B190" s="10">
        <v>16000.0</v>
      </c>
      <c r="C190" s="8" t="s">
        <v>66</v>
      </c>
      <c r="D190" s="8" t="s">
        <v>69</v>
      </c>
      <c r="E190" s="8" t="s">
        <v>71</v>
      </c>
      <c r="F190" s="8" t="s">
        <v>73</v>
      </c>
      <c r="G190" s="10">
        <v>6065.0</v>
      </c>
      <c r="H190" s="10">
        <v>7000.0</v>
      </c>
      <c r="I190" s="14"/>
    </row>
    <row r="191">
      <c r="A191" s="8" t="s">
        <v>106</v>
      </c>
      <c r="B191" s="10">
        <v>16000.0</v>
      </c>
      <c r="C191" s="8" t="s">
        <v>69</v>
      </c>
      <c r="D191" s="8" t="s">
        <v>53</v>
      </c>
      <c r="E191" s="8" t="s">
        <v>57</v>
      </c>
      <c r="F191" s="8" t="s">
        <v>29</v>
      </c>
      <c r="G191" s="12"/>
      <c r="H191" s="10">
        <v>0.0</v>
      </c>
      <c r="I191" s="14"/>
    </row>
    <row r="192">
      <c r="A192" s="8" t="s">
        <v>111</v>
      </c>
      <c r="B192" s="10">
        <v>12500.0</v>
      </c>
      <c r="C192" s="8" t="s">
        <v>25</v>
      </c>
      <c r="D192" s="8" t="s">
        <v>26</v>
      </c>
      <c r="E192" s="8" t="s">
        <v>27</v>
      </c>
      <c r="F192" s="8" t="s">
        <v>29</v>
      </c>
      <c r="G192" s="12"/>
      <c r="H192" s="10">
        <v>0.0</v>
      </c>
      <c r="I192" s="12"/>
    </row>
    <row r="193">
      <c r="A193" s="8" t="s">
        <v>111</v>
      </c>
      <c r="B193" s="10">
        <v>12500.0</v>
      </c>
      <c r="C193" s="8" t="s">
        <v>26</v>
      </c>
      <c r="D193" s="8" t="s">
        <v>36</v>
      </c>
      <c r="E193" s="8" t="s">
        <v>37</v>
      </c>
      <c r="F193" s="8" t="s">
        <v>38</v>
      </c>
      <c r="G193" s="10">
        <v>13784.0</v>
      </c>
      <c r="H193" s="10">
        <v>3000.0</v>
      </c>
      <c r="I193" s="12"/>
    </row>
    <row r="194">
      <c r="A194" s="8" t="s">
        <v>111</v>
      </c>
      <c r="B194" s="10">
        <v>12500.0</v>
      </c>
      <c r="C194" s="8" t="s">
        <v>36</v>
      </c>
      <c r="D194" s="8" t="s">
        <v>60</v>
      </c>
      <c r="E194" s="8" t="s">
        <v>37</v>
      </c>
      <c r="F194" s="8" t="s">
        <v>38</v>
      </c>
      <c r="G194" s="10">
        <v>3951.0</v>
      </c>
      <c r="H194" s="10">
        <v>3000.0</v>
      </c>
      <c r="I194" s="12"/>
    </row>
    <row r="195">
      <c r="A195" s="8" t="s">
        <v>111</v>
      </c>
      <c r="B195" s="10">
        <v>12500.0</v>
      </c>
      <c r="C195" s="8" t="s">
        <v>60</v>
      </c>
      <c r="D195" s="8" t="s">
        <v>63</v>
      </c>
      <c r="E195" s="8" t="s">
        <v>65</v>
      </c>
      <c r="F195" s="8" t="s">
        <v>38</v>
      </c>
      <c r="G195" s="10">
        <v>3141.0</v>
      </c>
      <c r="H195" s="10">
        <v>3000.0</v>
      </c>
      <c r="I195" s="12"/>
    </row>
    <row r="196">
      <c r="A196" s="8" t="s">
        <v>111</v>
      </c>
      <c r="B196" s="10">
        <v>12500.0</v>
      </c>
      <c r="C196" s="8" t="s">
        <v>63</v>
      </c>
      <c r="D196" s="8" t="s">
        <v>79</v>
      </c>
      <c r="E196" s="8" t="s">
        <v>40</v>
      </c>
      <c r="F196" s="8" t="s">
        <v>29</v>
      </c>
      <c r="G196" s="12"/>
      <c r="H196" s="10">
        <v>0.0</v>
      </c>
      <c r="I196" s="12"/>
    </row>
    <row r="197">
      <c r="A197" s="8" t="s">
        <v>111</v>
      </c>
      <c r="B197" s="10">
        <v>12500.0</v>
      </c>
      <c r="C197" s="8" t="s">
        <v>79</v>
      </c>
      <c r="D197" s="8" t="s">
        <v>53</v>
      </c>
      <c r="E197" s="8">
        <v>1.0</v>
      </c>
      <c r="F197" s="8" t="s">
        <v>49</v>
      </c>
      <c r="G197" s="12"/>
      <c r="H197" s="10">
        <v>3500.0</v>
      </c>
      <c r="I197" s="8" t="s">
        <v>51</v>
      </c>
    </row>
    <row r="198">
      <c r="A198" s="8" t="s">
        <v>111</v>
      </c>
      <c r="B198" s="10">
        <v>12500.0</v>
      </c>
      <c r="C198" s="8" t="s">
        <v>53</v>
      </c>
      <c r="D198" s="8" t="s">
        <v>53</v>
      </c>
      <c r="E198" s="8" t="s">
        <v>57</v>
      </c>
      <c r="F198" s="8" t="s">
        <v>29</v>
      </c>
      <c r="G198" s="12"/>
      <c r="H198" s="10">
        <v>0.0</v>
      </c>
      <c r="I198" s="12"/>
    </row>
    <row r="199">
      <c r="A199" s="8" t="s">
        <v>117</v>
      </c>
      <c r="B199" s="10">
        <v>9500.0</v>
      </c>
      <c r="C199" s="8" t="s">
        <v>25</v>
      </c>
      <c r="D199" s="8" t="s">
        <v>26</v>
      </c>
      <c r="E199" s="8" t="s">
        <v>27</v>
      </c>
      <c r="F199" s="8" t="s">
        <v>29</v>
      </c>
      <c r="G199" s="12"/>
      <c r="H199" s="10">
        <v>0.0</v>
      </c>
      <c r="I199" s="14"/>
    </row>
    <row r="200">
      <c r="A200" s="8" t="s">
        <v>117</v>
      </c>
      <c r="B200" s="10">
        <v>9500.0</v>
      </c>
      <c r="C200" s="8" t="s">
        <v>26</v>
      </c>
      <c r="D200" s="8" t="s">
        <v>36</v>
      </c>
      <c r="E200" s="8" t="s">
        <v>37</v>
      </c>
      <c r="F200" s="8" t="s">
        <v>38</v>
      </c>
      <c r="G200" s="10">
        <v>13784.0</v>
      </c>
      <c r="H200" s="10">
        <v>3000.0</v>
      </c>
      <c r="I200" s="12"/>
    </row>
    <row r="201">
      <c r="A201" s="8" t="s">
        <v>117</v>
      </c>
      <c r="B201" s="10">
        <v>9500.0</v>
      </c>
      <c r="C201" s="8" t="s">
        <v>36</v>
      </c>
      <c r="D201" s="8" t="s">
        <v>60</v>
      </c>
      <c r="E201" s="8" t="s">
        <v>37</v>
      </c>
      <c r="F201" s="8" t="s">
        <v>38</v>
      </c>
      <c r="G201" s="10">
        <v>3951.0</v>
      </c>
      <c r="H201" s="10">
        <v>3000.0</v>
      </c>
      <c r="I201" s="12"/>
    </row>
    <row r="202">
      <c r="A202" s="8" t="s">
        <v>117</v>
      </c>
      <c r="B202" s="10">
        <v>9500.0</v>
      </c>
      <c r="C202" s="8" t="s">
        <v>60</v>
      </c>
      <c r="D202" s="8" t="s">
        <v>87</v>
      </c>
      <c r="E202" s="8">
        <v>4.0</v>
      </c>
      <c r="F202" s="8" t="s">
        <v>49</v>
      </c>
      <c r="G202" s="12"/>
      <c r="H202" s="10">
        <v>3500.0</v>
      </c>
      <c r="I202" s="8" t="s">
        <v>51</v>
      </c>
    </row>
    <row r="203">
      <c r="A203" s="8" t="s">
        <v>117</v>
      </c>
      <c r="B203" s="10">
        <v>9500.0</v>
      </c>
      <c r="C203" s="8" t="s">
        <v>87</v>
      </c>
      <c r="D203" s="8" t="s">
        <v>79</v>
      </c>
      <c r="E203" s="8" t="s">
        <v>40</v>
      </c>
      <c r="F203" s="8" t="s">
        <v>29</v>
      </c>
      <c r="G203" s="14"/>
      <c r="H203" s="10">
        <v>0.0</v>
      </c>
      <c r="I203" s="12"/>
    </row>
    <row r="204">
      <c r="A204" s="8" t="s">
        <v>117</v>
      </c>
      <c r="B204" s="10">
        <v>9500.0</v>
      </c>
      <c r="C204" s="8" t="s">
        <v>79</v>
      </c>
      <c r="D204" s="8" t="s">
        <v>53</v>
      </c>
      <c r="E204" s="8">
        <v>1.0</v>
      </c>
      <c r="F204" s="8" t="s">
        <v>49</v>
      </c>
      <c r="G204" s="12"/>
      <c r="H204" s="10">
        <v>0.0</v>
      </c>
      <c r="I204" s="8" t="s">
        <v>56</v>
      </c>
    </row>
    <row r="205">
      <c r="A205" s="8" t="s">
        <v>117</v>
      </c>
      <c r="B205" s="10">
        <v>9500.0</v>
      </c>
      <c r="C205" s="8" t="s">
        <v>53</v>
      </c>
      <c r="D205" s="8" t="s">
        <v>53</v>
      </c>
      <c r="E205" s="8" t="s">
        <v>57</v>
      </c>
      <c r="F205" s="8" t="s">
        <v>29</v>
      </c>
      <c r="G205" s="12"/>
      <c r="H205" s="10">
        <v>0.0</v>
      </c>
      <c r="I205" s="14"/>
    </row>
    <row r="206">
      <c r="A206" s="8" t="s">
        <v>119</v>
      </c>
      <c r="B206" s="10">
        <v>12200.0</v>
      </c>
      <c r="C206" s="8" t="s">
        <v>25</v>
      </c>
      <c r="D206" s="8" t="s">
        <v>26</v>
      </c>
      <c r="E206" s="8" t="s">
        <v>27</v>
      </c>
      <c r="F206" s="8" t="s">
        <v>29</v>
      </c>
      <c r="G206" s="12"/>
      <c r="H206" s="10">
        <v>0.0</v>
      </c>
      <c r="I206" s="14"/>
    </row>
    <row r="207">
      <c r="A207" s="8" t="s">
        <v>119</v>
      </c>
      <c r="B207" s="10">
        <v>12200.0</v>
      </c>
      <c r="C207" s="8" t="s">
        <v>26</v>
      </c>
      <c r="D207" s="8" t="s">
        <v>36</v>
      </c>
      <c r="E207" s="8" t="s">
        <v>37</v>
      </c>
      <c r="F207" s="8" t="s">
        <v>38</v>
      </c>
      <c r="G207" s="10">
        <v>13784.0</v>
      </c>
      <c r="H207" s="10">
        <v>3000.0</v>
      </c>
      <c r="I207" s="12"/>
    </row>
    <row r="208">
      <c r="A208" s="8" t="s">
        <v>119</v>
      </c>
      <c r="B208" s="10">
        <v>12200.0</v>
      </c>
      <c r="C208" s="8" t="s">
        <v>36</v>
      </c>
      <c r="D208" s="8" t="s">
        <v>39</v>
      </c>
      <c r="E208" s="8" t="s">
        <v>40</v>
      </c>
      <c r="F208" s="8" t="s">
        <v>29</v>
      </c>
      <c r="G208" s="14"/>
      <c r="H208" s="10">
        <v>0.0</v>
      </c>
      <c r="I208" s="12"/>
    </row>
    <row r="209">
      <c r="A209" s="8" t="s">
        <v>119</v>
      </c>
      <c r="B209" s="10">
        <v>12200.0</v>
      </c>
      <c r="C209" s="8" t="s">
        <v>39</v>
      </c>
      <c r="D209" s="8" t="s">
        <v>221</v>
      </c>
      <c r="E209" s="8" t="s">
        <v>44</v>
      </c>
      <c r="F209" s="8" t="s">
        <v>45</v>
      </c>
      <c r="G209" s="10">
        <v>1473.0</v>
      </c>
      <c r="H209" s="10">
        <v>5700.0</v>
      </c>
      <c r="I209" s="12"/>
    </row>
    <row r="210">
      <c r="A210" s="8" t="s">
        <v>119</v>
      </c>
      <c r="B210" s="10">
        <v>12200.0</v>
      </c>
      <c r="C210" s="8" t="s">
        <v>221</v>
      </c>
      <c r="D210" s="8" t="s">
        <v>186</v>
      </c>
      <c r="E210" s="8" t="s">
        <v>40</v>
      </c>
      <c r="F210" s="8" t="s">
        <v>29</v>
      </c>
      <c r="G210" s="14"/>
      <c r="H210" s="10">
        <v>0.0</v>
      </c>
      <c r="I210" s="12"/>
    </row>
    <row r="211">
      <c r="A211" s="8" t="s">
        <v>119</v>
      </c>
      <c r="B211" s="10">
        <v>12200.0</v>
      </c>
      <c r="C211" s="8" t="s">
        <v>186</v>
      </c>
      <c r="D211" s="8" t="s">
        <v>189</v>
      </c>
      <c r="E211" s="8" t="s">
        <v>190</v>
      </c>
      <c r="F211" s="8" t="s">
        <v>49</v>
      </c>
      <c r="G211" s="12"/>
      <c r="H211" s="10">
        <v>3500.0</v>
      </c>
      <c r="I211" s="8" t="s">
        <v>51</v>
      </c>
    </row>
    <row r="212">
      <c r="A212" s="8" t="s">
        <v>119</v>
      </c>
      <c r="B212" s="10">
        <v>12200.0</v>
      </c>
      <c r="C212" s="8" t="s">
        <v>189</v>
      </c>
      <c r="D212" s="8" t="s">
        <v>52</v>
      </c>
      <c r="E212" s="8" t="s">
        <v>40</v>
      </c>
      <c r="F212" s="8" t="s">
        <v>29</v>
      </c>
      <c r="G212" s="12"/>
      <c r="H212" s="10">
        <v>0.0</v>
      </c>
      <c r="I212" s="14"/>
    </row>
    <row r="213">
      <c r="A213" s="8" t="s">
        <v>119</v>
      </c>
      <c r="B213" s="10">
        <v>12200.0</v>
      </c>
      <c r="C213" s="8" t="s">
        <v>52</v>
      </c>
      <c r="D213" s="8" t="s">
        <v>53</v>
      </c>
      <c r="E213" s="8">
        <v>1.0</v>
      </c>
      <c r="F213" s="8" t="s">
        <v>49</v>
      </c>
      <c r="G213" s="12"/>
      <c r="H213" s="10">
        <v>0.0</v>
      </c>
      <c r="I213" s="8" t="s">
        <v>56</v>
      </c>
    </row>
    <row r="214">
      <c r="A214" s="8" t="s">
        <v>119</v>
      </c>
      <c r="B214" s="10">
        <v>12200.0</v>
      </c>
      <c r="C214" s="8" t="s">
        <v>53</v>
      </c>
      <c r="D214" s="8" t="s">
        <v>53</v>
      </c>
      <c r="E214" s="8" t="s">
        <v>57</v>
      </c>
      <c r="F214" s="8" t="s">
        <v>29</v>
      </c>
      <c r="G214" s="12"/>
      <c r="H214" s="10">
        <v>0.0</v>
      </c>
      <c r="I214" s="14"/>
    </row>
    <row r="215">
      <c r="A215" s="8" t="s">
        <v>121</v>
      </c>
      <c r="B215" s="10">
        <v>12200.0</v>
      </c>
      <c r="C215" s="8" t="s">
        <v>25</v>
      </c>
      <c r="D215" s="8" t="s">
        <v>26</v>
      </c>
      <c r="E215" s="8" t="s">
        <v>27</v>
      </c>
      <c r="F215" s="8" t="s">
        <v>29</v>
      </c>
      <c r="G215" s="12"/>
      <c r="H215" s="10">
        <v>0.0</v>
      </c>
      <c r="I215" s="14"/>
    </row>
    <row r="216">
      <c r="A216" s="8" t="s">
        <v>121</v>
      </c>
      <c r="B216" s="10">
        <v>12200.0</v>
      </c>
      <c r="C216" s="8" t="s">
        <v>26</v>
      </c>
      <c r="D216" s="8" t="s">
        <v>36</v>
      </c>
      <c r="E216" s="8" t="s">
        <v>37</v>
      </c>
      <c r="F216" s="8" t="s">
        <v>38</v>
      </c>
      <c r="G216" s="10">
        <v>13784.0</v>
      </c>
      <c r="H216" s="10">
        <v>3000.0</v>
      </c>
      <c r="I216" s="12"/>
    </row>
    <row r="217">
      <c r="A217" s="8" t="s">
        <v>121</v>
      </c>
      <c r="B217" s="10">
        <v>12200.0</v>
      </c>
      <c r="C217" s="8" t="s">
        <v>36</v>
      </c>
      <c r="D217" s="8" t="s">
        <v>39</v>
      </c>
      <c r="E217" s="8" t="s">
        <v>40</v>
      </c>
      <c r="F217" s="8" t="s">
        <v>29</v>
      </c>
      <c r="G217" s="14"/>
      <c r="H217" s="10">
        <v>0.0</v>
      </c>
      <c r="I217" s="12"/>
    </row>
    <row r="218">
      <c r="A218" s="8" t="s">
        <v>121</v>
      </c>
      <c r="B218" s="10">
        <v>12200.0</v>
      </c>
      <c r="C218" s="8" t="s">
        <v>39</v>
      </c>
      <c r="D218" s="8" t="s">
        <v>221</v>
      </c>
      <c r="E218" s="8" t="s">
        <v>44</v>
      </c>
      <c r="F218" s="8" t="s">
        <v>45</v>
      </c>
      <c r="G218" s="10">
        <v>1473.0</v>
      </c>
      <c r="H218" s="10">
        <v>5700.0</v>
      </c>
      <c r="I218" s="12"/>
    </row>
    <row r="219">
      <c r="A219" s="8" t="s">
        <v>121</v>
      </c>
      <c r="B219" s="10">
        <v>12200.0</v>
      </c>
      <c r="C219" s="8" t="s">
        <v>221</v>
      </c>
      <c r="D219" s="8" t="s">
        <v>186</v>
      </c>
      <c r="E219" s="8" t="s">
        <v>40</v>
      </c>
      <c r="F219" s="8" t="s">
        <v>29</v>
      </c>
      <c r="G219" s="14"/>
      <c r="H219" s="10">
        <v>0.0</v>
      </c>
      <c r="I219" s="12"/>
    </row>
    <row r="220">
      <c r="A220" s="8" t="s">
        <v>121</v>
      </c>
      <c r="B220" s="10">
        <v>12200.0</v>
      </c>
      <c r="C220" s="8" t="s">
        <v>186</v>
      </c>
      <c r="D220" s="8" t="s">
        <v>203</v>
      </c>
      <c r="E220" s="8" t="s">
        <v>204</v>
      </c>
      <c r="F220" s="8" t="s">
        <v>49</v>
      </c>
      <c r="G220" s="12"/>
      <c r="H220" s="10">
        <v>3500.0</v>
      </c>
      <c r="I220" s="8" t="s">
        <v>51</v>
      </c>
    </row>
    <row r="221">
      <c r="A221" s="8" t="s">
        <v>121</v>
      </c>
      <c r="B221" s="10">
        <v>12200.0</v>
      </c>
      <c r="C221" s="8" t="s">
        <v>203</v>
      </c>
      <c r="D221" s="8" t="s">
        <v>202</v>
      </c>
      <c r="E221" s="8" t="s">
        <v>40</v>
      </c>
      <c r="F221" s="8" t="s">
        <v>29</v>
      </c>
      <c r="G221" s="12"/>
      <c r="H221" s="10">
        <v>0.0</v>
      </c>
      <c r="I221" s="14"/>
    </row>
    <row r="222">
      <c r="A222" s="8" t="s">
        <v>121</v>
      </c>
      <c r="B222" s="10">
        <v>12200.0</v>
      </c>
      <c r="C222" s="8" t="s">
        <v>202</v>
      </c>
      <c r="D222" s="8" t="s">
        <v>52</v>
      </c>
      <c r="E222" s="8" t="s">
        <v>209</v>
      </c>
      <c r="F222" s="8" t="s">
        <v>49</v>
      </c>
      <c r="G222" s="12"/>
      <c r="H222" s="10">
        <v>0.0</v>
      </c>
      <c r="I222" s="8" t="s">
        <v>56</v>
      </c>
    </row>
    <row r="223">
      <c r="A223" s="8" t="s">
        <v>121</v>
      </c>
      <c r="B223" s="10">
        <v>12200.0</v>
      </c>
      <c r="C223" s="8" t="s">
        <v>52</v>
      </c>
      <c r="D223" s="8" t="s">
        <v>53</v>
      </c>
      <c r="E223" s="8">
        <v>1.0</v>
      </c>
      <c r="F223" s="8" t="s">
        <v>49</v>
      </c>
      <c r="G223" s="12"/>
      <c r="H223" s="10">
        <v>0.0</v>
      </c>
      <c r="I223" s="8" t="s">
        <v>56</v>
      </c>
    </row>
    <row r="224">
      <c r="A224" s="8" t="s">
        <v>121</v>
      </c>
      <c r="B224" s="10">
        <v>12200.0</v>
      </c>
      <c r="C224" s="8" t="s">
        <v>53</v>
      </c>
      <c r="D224" s="8" t="s">
        <v>53</v>
      </c>
      <c r="E224" s="8" t="s">
        <v>57</v>
      </c>
      <c r="F224" s="8" t="s">
        <v>29</v>
      </c>
      <c r="G224" s="12"/>
      <c r="H224" s="10">
        <v>0.0</v>
      </c>
      <c r="I224" s="12"/>
    </row>
    <row r="225">
      <c r="A225" s="8" t="s">
        <v>124</v>
      </c>
      <c r="B225" s="10">
        <v>12200.0</v>
      </c>
      <c r="C225" s="8" t="s">
        <v>25</v>
      </c>
      <c r="D225" s="8" t="s">
        <v>26</v>
      </c>
      <c r="E225" s="8" t="s">
        <v>27</v>
      </c>
      <c r="F225" s="8" t="s">
        <v>29</v>
      </c>
      <c r="G225" s="14"/>
      <c r="H225" s="10">
        <v>0.0</v>
      </c>
      <c r="I225" s="12"/>
    </row>
    <row r="226">
      <c r="A226" s="8" t="s">
        <v>124</v>
      </c>
      <c r="B226" s="10">
        <v>12200.0</v>
      </c>
      <c r="C226" s="8" t="s">
        <v>26</v>
      </c>
      <c r="D226" s="8" t="s">
        <v>36</v>
      </c>
      <c r="E226" s="8" t="s">
        <v>37</v>
      </c>
      <c r="F226" s="8" t="s">
        <v>38</v>
      </c>
      <c r="G226" s="10">
        <v>13784.0</v>
      </c>
      <c r="H226" s="10">
        <v>3000.0</v>
      </c>
      <c r="I226" s="12"/>
    </row>
    <row r="227">
      <c r="A227" s="8" t="s">
        <v>124</v>
      </c>
      <c r="B227" s="10">
        <v>12200.0</v>
      </c>
      <c r="C227" s="8" t="s">
        <v>36</v>
      </c>
      <c r="D227" s="8" t="s">
        <v>39</v>
      </c>
      <c r="E227" s="8" t="s">
        <v>40</v>
      </c>
      <c r="F227" s="8" t="s">
        <v>29</v>
      </c>
      <c r="G227" s="14"/>
      <c r="H227" s="10">
        <v>0.0</v>
      </c>
      <c r="I227" s="12"/>
    </row>
    <row r="228">
      <c r="A228" s="8" t="s">
        <v>124</v>
      </c>
      <c r="B228" s="10">
        <v>12200.0</v>
      </c>
      <c r="C228" s="8" t="s">
        <v>39</v>
      </c>
      <c r="D228" s="8" t="s">
        <v>221</v>
      </c>
      <c r="E228" s="8" t="s">
        <v>44</v>
      </c>
      <c r="F228" s="8" t="s">
        <v>45</v>
      </c>
      <c r="G228" s="10">
        <v>1473.0</v>
      </c>
      <c r="H228" s="10">
        <v>5700.0</v>
      </c>
      <c r="I228" s="12"/>
    </row>
    <row r="229">
      <c r="A229" s="8" t="s">
        <v>124</v>
      </c>
      <c r="B229" s="10">
        <v>12200.0</v>
      </c>
      <c r="C229" s="8" t="s">
        <v>221</v>
      </c>
      <c r="D229" s="8" t="s">
        <v>186</v>
      </c>
      <c r="E229" s="8" t="s">
        <v>40</v>
      </c>
      <c r="F229" s="8" t="s">
        <v>29</v>
      </c>
      <c r="G229" s="12"/>
      <c r="H229" s="10">
        <v>0.0</v>
      </c>
      <c r="I229" s="14"/>
    </row>
    <row r="230">
      <c r="A230" s="8" t="s">
        <v>124</v>
      </c>
      <c r="B230" s="10">
        <v>12200.0</v>
      </c>
      <c r="C230" s="8" t="s">
        <v>186</v>
      </c>
      <c r="D230" s="8" t="s">
        <v>203</v>
      </c>
      <c r="E230" s="8" t="s">
        <v>204</v>
      </c>
      <c r="F230" s="8" t="s">
        <v>49</v>
      </c>
      <c r="G230" s="12"/>
      <c r="H230" s="10">
        <v>3500.0</v>
      </c>
      <c r="I230" s="8" t="s">
        <v>51</v>
      </c>
    </row>
    <row r="231">
      <c r="A231" s="8" t="s">
        <v>124</v>
      </c>
      <c r="B231" s="10">
        <v>12200.0</v>
      </c>
      <c r="C231" s="8" t="s">
        <v>203</v>
      </c>
      <c r="D231" s="8" t="s">
        <v>202</v>
      </c>
      <c r="E231" s="8" t="s">
        <v>40</v>
      </c>
      <c r="F231" s="8" t="s">
        <v>29</v>
      </c>
      <c r="G231" s="12"/>
      <c r="H231" s="10">
        <v>0.0</v>
      </c>
      <c r="I231" s="12"/>
    </row>
    <row r="232">
      <c r="A232" s="8" t="s">
        <v>124</v>
      </c>
      <c r="B232" s="10">
        <v>12200.0</v>
      </c>
      <c r="C232" s="8" t="s">
        <v>202</v>
      </c>
      <c r="D232" s="8" t="s">
        <v>115</v>
      </c>
      <c r="E232" s="8" t="s">
        <v>207</v>
      </c>
      <c r="F232" s="8" t="s">
        <v>49</v>
      </c>
      <c r="G232" s="14"/>
      <c r="H232" s="10">
        <v>0.0</v>
      </c>
      <c r="I232" s="8" t="s">
        <v>56</v>
      </c>
    </row>
    <row r="233">
      <c r="A233" s="8" t="s">
        <v>124</v>
      </c>
      <c r="B233" s="10">
        <v>12200.0</v>
      </c>
      <c r="C233" s="8" t="s">
        <v>115</v>
      </c>
      <c r="D233" s="8" t="s">
        <v>53</v>
      </c>
      <c r="E233" s="8" t="s">
        <v>57</v>
      </c>
      <c r="F233" s="8" t="s">
        <v>29</v>
      </c>
      <c r="G233" s="12"/>
      <c r="H233" s="10">
        <v>0.0</v>
      </c>
      <c r="I233" s="14"/>
    </row>
    <row r="234">
      <c r="A234" s="8" t="s">
        <v>126</v>
      </c>
      <c r="B234" s="10">
        <v>12200.0</v>
      </c>
      <c r="C234" s="8" t="s">
        <v>25</v>
      </c>
      <c r="D234" s="8" t="s">
        <v>26</v>
      </c>
      <c r="E234" s="8" t="s">
        <v>27</v>
      </c>
      <c r="F234" s="8" t="s">
        <v>29</v>
      </c>
      <c r="G234" s="12"/>
      <c r="H234" s="10">
        <v>0.0</v>
      </c>
      <c r="I234" s="12"/>
    </row>
    <row r="235">
      <c r="A235" s="8" t="s">
        <v>126</v>
      </c>
      <c r="B235" s="10">
        <v>12200.0</v>
      </c>
      <c r="C235" s="8" t="s">
        <v>26</v>
      </c>
      <c r="D235" s="8" t="s">
        <v>36</v>
      </c>
      <c r="E235" s="8" t="s">
        <v>37</v>
      </c>
      <c r="F235" s="8" t="s">
        <v>38</v>
      </c>
      <c r="G235" s="10">
        <v>13784.0</v>
      </c>
      <c r="H235" s="10">
        <v>3000.0</v>
      </c>
      <c r="I235" s="14"/>
    </row>
    <row r="236">
      <c r="A236" s="8" t="s">
        <v>126</v>
      </c>
      <c r="B236" s="10">
        <v>12200.0</v>
      </c>
      <c r="C236" s="8" t="s">
        <v>36</v>
      </c>
      <c r="D236" s="8" t="s">
        <v>39</v>
      </c>
      <c r="E236" s="8" t="s">
        <v>40</v>
      </c>
      <c r="F236" s="8" t="s">
        <v>29</v>
      </c>
      <c r="G236" s="12"/>
      <c r="H236" s="10">
        <v>0.0</v>
      </c>
      <c r="I236" s="14"/>
    </row>
    <row r="237">
      <c r="A237" s="8" t="s">
        <v>126</v>
      </c>
      <c r="B237" s="10">
        <v>12200.0</v>
      </c>
      <c r="C237" s="8" t="s">
        <v>39</v>
      </c>
      <c r="D237" s="8" t="s">
        <v>221</v>
      </c>
      <c r="E237" s="8" t="s">
        <v>44</v>
      </c>
      <c r="F237" s="8" t="s">
        <v>45</v>
      </c>
      <c r="G237" s="10">
        <v>1473.0</v>
      </c>
      <c r="H237" s="10">
        <v>5700.0</v>
      </c>
      <c r="I237" s="12"/>
    </row>
    <row r="238">
      <c r="A238" s="8" t="s">
        <v>126</v>
      </c>
      <c r="B238" s="10">
        <v>12200.0</v>
      </c>
      <c r="C238" s="8" t="s">
        <v>221</v>
      </c>
      <c r="D238" s="8" t="s">
        <v>186</v>
      </c>
      <c r="E238" s="8" t="s">
        <v>40</v>
      </c>
      <c r="F238" s="8" t="s">
        <v>29</v>
      </c>
      <c r="G238" s="12"/>
      <c r="H238" s="10">
        <v>0.0</v>
      </c>
      <c r="I238" s="14"/>
    </row>
    <row r="239">
      <c r="A239" s="8" t="s">
        <v>126</v>
      </c>
      <c r="B239" s="10">
        <v>12200.0</v>
      </c>
      <c r="C239" s="8" t="s">
        <v>186</v>
      </c>
      <c r="D239" s="8" t="s">
        <v>52</v>
      </c>
      <c r="E239" s="8" t="s">
        <v>208</v>
      </c>
      <c r="F239" s="8" t="s">
        <v>49</v>
      </c>
      <c r="G239" s="12"/>
      <c r="H239" s="10">
        <v>3500.0</v>
      </c>
      <c r="I239" s="8" t="s">
        <v>51</v>
      </c>
    </row>
    <row r="240">
      <c r="A240" s="8" t="s">
        <v>126</v>
      </c>
      <c r="B240" s="10">
        <v>12200.0</v>
      </c>
      <c r="C240" s="8" t="s">
        <v>52</v>
      </c>
      <c r="D240" s="8" t="s">
        <v>53</v>
      </c>
      <c r="E240" s="8">
        <v>1.0</v>
      </c>
      <c r="F240" s="8" t="s">
        <v>49</v>
      </c>
      <c r="G240" s="14"/>
      <c r="H240" s="10">
        <v>0.0</v>
      </c>
      <c r="I240" s="8" t="s">
        <v>56</v>
      </c>
    </row>
    <row r="241">
      <c r="A241" s="8" t="s">
        <v>126</v>
      </c>
      <c r="B241" s="10">
        <v>12200.0</v>
      </c>
      <c r="C241" s="8" t="s">
        <v>53</v>
      </c>
      <c r="D241" s="8" t="s">
        <v>53</v>
      </c>
      <c r="E241" s="8" t="s">
        <v>57</v>
      </c>
      <c r="F241" s="8" t="s">
        <v>29</v>
      </c>
      <c r="G241" s="12"/>
      <c r="H241" s="10">
        <v>0.0</v>
      </c>
      <c r="I241" s="14"/>
    </row>
    <row r="242">
      <c r="A242" s="8" t="s">
        <v>130</v>
      </c>
      <c r="B242" s="10">
        <v>12200.0</v>
      </c>
      <c r="C242" s="8" t="s">
        <v>25</v>
      </c>
      <c r="D242" s="8" t="s">
        <v>26</v>
      </c>
      <c r="E242" s="8" t="s">
        <v>27</v>
      </c>
      <c r="F242" s="8" t="s">
        <v>29</v>
      </c>
      <c r="G242" s="12"/>
      <c r="H242" s="10">
        <v>0.0</v>
      </c>
      <c r="I242" s="12"/>
    </row>
    <row r="243">
      <c r="A243" s="8" t="s">
        <v>130</v>
      </c>
      <c r="B243" s="10">
        <v>12200.0</v>
      </c>
      <c r="C243" s="8" t="s">
        <v>26</v>
      </c>
      <c r="D243" s="8" t="s">
        <v>36</v>
      </c>
      <c r="E243" s="8" t="s">
        <v>37</v>
      </c>
      <c r="F243" s="8" t="s">
        <v>38</v>
      </c>
      <c r="G243" s="10">
        <v>13784.0</v>
      </c>
      <c r="H243" s="10">
        <v>3000.0</v>
      </c>
      <c r="I243" s="14"/>
    </row>
    <row r="244">
      <c r="A244" s="8" t="s">
        <v>130</v>
      </c>
      <c r="B244" s="10">
        <v>12200.0</v>
      </c>
      <c r="C244" s="8" t="s">
        <v>36</v>
      </c>
      <c r="D244" s="8" t="s">
        <v>39</v>
      </c>
      <c r="E244" s="8" t="s">
        <v>40</v>
      </c>
      <c r="F244" s="8" t="s">
        <v>29</v>
      </c>
      <c r="G244" s="12"/>
      <c r="H244" s="10">
        <v>0.0</v>
      </c>
      <c r="I244" s="14"/>
    </row>
    <row r="245">
      <c r="A245" s="8" t="s">
        <v>130</v>
      </c>
      <c r="B245" s="10">
        <v>12200.0</v>
      </c>
      <c r="C245" s="8" t="s">
        <v>39</v>
      </c>
      <c r="D245" s="8" t="s">
        <v>221</v>
      </c>
      <c r="E245" s="8" t="s">
        <v>44</v>
      </c>
      <c r="F245" s="8" t="s">
        <v>45</v>
      </c>
      <c r="G245" s="10">
        <v>1473.0</v>
      </c>
      <c r="H245" s="10">
        <v>5700.0</v>
      </c>
      <c r="I245" s="12"/>
    </row>
    <row r="246">
      <c r="A246" s="8" t="s">
        <v>130</v>
      </c>
      <c r="B246" s="10">
        <v>12200.0</v>
      </c>
      <c r="C246" s="8" t="s">
        <v>221</v>
      </c>
      <c r="D246" s="8" t="s">
        <v>186</v>
      </c>
      <c r="E246" s="8" t="s">
        <v>40</v>
      </c>
      <c r="F246" s="8" t="s">
        <v>29</v>
      </c>
      <c r="G246" s="12"/>
      <c r="H246" s="10">
        <v>0.0</v>
      </c>
      <c r="I246" s="14"/>
    </row>
    <row r="247">
      <c r="A247" s="8" t="s">
        <v>130</v>
      </c>
      <c r="B247" s="10">
        <v>12200.0</v>
      </c>
      <c r="C247" s="8" t="s">
        <v>186</v>
      </c>
      <c r="D247" s="8" t="s">
        <v>199</v>
      </c>
      <c r="E247" s="8">
        <v>9.0</v>
      </c>
      <c r="F247" s="8" t="s">
        <v>49</v>
      </c>
      <c r="G247" s="12"/>
      <c r="H247" s="10">
        <v>3500.0</v>
      </c>
      <c r="I247" s="8" t="s">
        <v>51</v>
      </c>
    </row>
    <row r="248">
      <c r="A248" s="8" t="s">
        <v>130</v>
      </c>
      <c r="B248" s="10">
        <v>12200.0</v>
      </c>
      <c r="C248" s="8" t="s">
        <v>199</v>
      </c>
      <c r="D248" s="8" t="s">
        <v>202</v>
      </c>
      <c r="E248" s="8" t="s">
        <v>40</v>
      </c>
      <c r="F248" s="8" t="s">
        <v>29</v>
      </c>
      <c r="G248" s="12"/>
      <c r="H248" s="10">
        <v>0.0</v>
      </c>
      <c r="I248" s="12"/>
    </row>
    <row r="249">
      <c r="A249" s="8" t="s">
        <v>130</v>
      </c>
      <c r="B249" s="10">
        <v>12200.0</v>
      </c>
      <c r="C249" s="8" t="s">
        <v>202</v>
      </c>
      <c r="D249" s="8" t="s">
        <v>52</v>
      </c>
      <c r="E249" s="8" t="s">
        <v>209</v>
      </c>
      <c r="F249" s="8" t="s">
        <v>49</v>
      </c>
      <c r="G249" s="14"/>
      <c r="H249" s="10">
        <v>0.0</v>
      </c>
      <c r="I249" s="8" t="s">
        <v>56</v>
      </c>
    </row>
    <row r="250">
      <c r="A250" s="8" t="s">
        <v>130</v>
      </c>
      <c r="B250" s="10">
        <v>12200.0</v>
      </c>
      <c r="C250" s="8" t="s">
        <v>52</v>
      </c>
      <c r="D250" s="8" t="s">
        <v>53</v>
      </c>
      <c r="E250" s="8">
        <v>1.0</v>
      </c>
      <c r="F250" s="8" t="s">
        <v>49</v>
      </c>
      <c r="G250" s="12"/>
      <c r="H250" s="10">
        <v>0.0</v>
      </c>
      <c r="I250" s="8" t="s">
        <v>56</v>
      </c>
    </row>
    <row r="251">
      <c r="A251" s="8" t="s">
        <v>130</v>
      </c>
      <c r="B251" s="10">
        <v>12200.0</v>
      </c>
      <c r="C251" s="8" t="s">
        <v>53</v>
      </c>
      <c r="D251" s="8" t="s">
        <v>53</v>
      </c>
      <c r="E251" s="8" t="s">
        <v>57</v>
      </c>
      <c r="F251" s="8" t="s">
        <v>29</v>
      </c>
      <c r="G251" s="12"/>
      <c r="H251" s="10">
        <v>0.0</v>
      </c>
      <c r="I251" s="12"/>
    </row>
    <row r="252">
      <c r="A252" s="8" t="s">
        <v>132</v>
      </c>
      <c r="B252" s="10">
        <v>12200.0</v>
      </c>
      <c r="C252" s="8" t="s">
        <v>25</v>
      </c>
      <c r="D252" s="8" t="s">
        <v>26</v>
      </c>
      <c r="E252" s="8" t="s">
        <v>27</v>
      </c>
      <c r="F252" s="8" t="s">
        <v>29</v>
      </c>
      <c r="G252" s="12"/>
      <c r="H252" s="10">
        <v>0.0</v>
      </c>
      <c r="I252" s="14"/>
    </row>
    <row r="253">
      <c r="A253" s="8" t="s">
        <v>132</v>
      </c>
      <c r="B253" s="10">
        <v>12200.0</v>
      </c>
      <c r="C253" s="8" t="s">
        <v>26</v>
      </c>
      <c r="D253" s="8" t="s">
        <v>36</v>
      </c>
      <c r="E253" s="8" t="s">
        <v>37</v>
      </c>
      <c r="F253" s="8" t="s">
        <v>38</v>
      </c>
      <c r="G253" s="10">
        <v>13784.0</v>
      </c>
      <c r="H253" s="10">
        <v>3000.0</v>
      </c>
      <c r="I253" s="14"/>
    </row>
    <row r="254">
      <c r="A254" s="8" t="s">
        <v>132</v>
      </c>
      <c r="B254" s="10">
        <v>12200.0</v>
      </c>
      <c r="C254" s="8" t="s">
        <v>36</v>
      </c>
      <c r="D254" s="8" t="s">
        <v>39</v>
      </c>
      <c r="E254" s="8" t="s">
        <v>40</v>
      </c>
      <c r="F254" s="8" t="s">
        <v>29</v>
      </c>
      <c r="G254" s="12"/>
      <c r="H254" s="10">
        <v>0.0</v>
      </c>
      <c r="I254" s="12"/>
    </row>
    <row r="255">
      <c r="A255" s="8" t="s">
        <v>132</v>
      </c>
      <c r="B255" s="10">
        <v>12200.0</v>
      </c>
      <c r="C255" s="8" t="s">
        <v>39</v>
      </c>
      <c r="D255" s="8" t="s">
        <v>221</v>
      </c>
      <c r="E255" s="8" t="s">
        <v>44</v>
      </c>
      <c r="F255" s="8" t="s">
        <v>45</v>
      </c>
      <c r="G255" s="10">
        <v>1473.0</v>
      </c>
      <c r="H255" s="10">
        <v>5700.0</v>
      </c>
      <c r="I255" s="14"/>
    </row>
    <row r="256">
      <c r="A256" s="8" t="s">
        <v>132</v>
      </c>
      <c r="B256" s="10">
        <v>12200.0</v>
      </c>
      <c r="C256" s="8" t="s">
        <v>221</v>
      </c>
      <c r="D256" s="8" t="s">
        <v>186</v>
      </c>
      <c r="E256" s="8" t="s">
        <v>40</v>
      </c>
      <c r="F256" s="8" t="s">
        <v>29</v>
      </c>
      <c r="G256" s="12"/>
      <c r="H256" s="10">
        <v>0.0</v>
      </c>
      <c r="I256" s="12"/>
    </row>
    <row r="257">
      <c r="A257" s="8" t="s">
        <v>132</v>
      </c>
      <c r="B257" s="10">
        <v>12200.0</v>
      </c>
      <c r="C257" s="8" t="s">
        <v>186</v>
      </c>
      <c r="D257" s="8" t="s">
        <v>199</v>
      </c>
      <c r="E257" s="8">
        <v>9.0</v>
      </c>
      <c r="F257" s="8" t="s">
        <v>49</v>
      </c>
      <c r="G257" s="14"/>
      <c r="H257" s="10">
        <v>3500.0</v>
      </c>
      <c r="I257" s="8" t="s">
        <v>51</v>
      </c>
    </row>
    <row r="258">
      <c r="A258" s="8" t="s">
        <v>132</v>
      </c>
      <c r="B258" s="10">
        <v>12200.0</v>
      </c>
      <c r="C258" s="8" t="s">
        <v>199</v>
      </c>
      <c r="D258" s="8" t="s">
        <v>202</v>
      </c>
      <c r="E258" s="8" t="s">
        <v>40</v>
      </c>
      <c r="F258" s="8" t="s">
        <v>29</v>
      </c>
      <c r="G258" s="12"/>
      <c r="H258" s="10">
        <v>0.0</v>
      </c>
      <c r="I258" s="14"/>
    </row>
    <row r="259">
      <c r="A259" s="8" t="s">
        <v>132</v>
      </c>
      <c r="B259" s="10">
        <v>12200.0</v>
      </c>
      <c r="C259" s="8" t="s">
        <v>202</v>
      </c>
      <c r="D259" s="8" t="s">
        <v>115</v>
      </c>
      <c r="E259" s="8" t="s">
        <v>207</v>
      </c>
      <c r="F259" s="8" t="s">
        <v>49</v>
      </c>
      <c r="G259" s="12"/>
      <c r="H259" s="10">
        <v>0.0</v>
      </c>
      <c r="I259" s="8" t="s">
        <v>56</v>
      </c>
    </row>
    <row r="260">
      <c r="A260" s="8" t="s">
        <v>132</v>
      </c>
      <c r="B260" s="10">
        <v>12200.0</v>
      </c>
      <c r="C260" s="8" t="s">
        <v>115</v>
      </c>
      <c r="D260" s="8" t="s">
        <v>53</v>
      </c>
      <c r="E260" s="8" t="s">
        <v>57</v>
      </c>
      <c r="F260" s="8" t="s">
        <v>29</v>
      </c>
      <c r="G260" s="12"/>
      <c r="H260" s="10">
        <v>0.0</v>
      </c>
      <c r="I260" s="14"/>
    </row>
    <row r="261">
      <c r="A261" s="8" t="s">
        <v>134</v>
      </c>
      <c r="B261" s="10">
        <v>12200.0</v>
      </c>
      <c r="C261" s="8" t="s">
        <v>25</v>
      </c>
      <c r="D261" s="8" t="s">
        <v>26</v>
      </c>
      <c r="E261" s="8" t="s">
        <v>27</v>
      </c>
      <c r="F261" s="8" t="s">
        <v>29</v>
      </c>
      <c r="G261" s="12"/>
      <c r="H261" s="10">
        <v>0.0</v>
      </c>
      <c r="I261" s="14"/>
    </row>
    <row r="262">
      <c r="A262" s="8" t="s">
        <v>134</v>
      </c>
      <c r="B262" s="10">
        <v>12200.0</v>
      </c>
      <c r="C262" s="8" t="s">
        <v>26</v>
      </c>
      <c r="D262" s="8" t="s">
        <v>36</v>
      </c>
      <c r="E262" s="8" t="s">
        <v>37</v>
      </c>
      <c r="F262" s="8" t="s">
        <v>38</v>
      </c>
      <c r="G262" s="10">
        <v>13784.0</v>
      </c>
      <c r="H262" s="10">
        <v>3000.0</v>
      </c>
      <c r="I262" s="14"/>
    </row>
    <row r="263">
      <c r="A263" s="8" t="s">
        <v>134</v>
      </c>
      <c r="B263" s="10">
        <v>12200.0</v>
      </c>
      <c r="C263" s="8" t="s">
        <v>36</v>
      </c>
      <c r="D263" s="8" t="s">
        <v>39</v>
      </c>
      <c r="E263" s="8" t="s">
        <v>40</v>
      </c>
      <c r="F263" s="8" t="s">
        <v>29</v>
      </c>
      <c r="G263" s="12"/>
      <c r="H263" s="10">
        <v>0.0</v>
      </c>
      <c r="I263" s="12"/>
    </row>
    <row r="264">
      <c r="A264" s="8" t="s">
        <v>134</v>
      </c>
      <c r="B264" s="10">
        <v>12200.0</v>
      </c>
      <c r="C264" s="8" t="s">
        <v>39</v>
      </c>
      <c r="D264" s="8" t="s">
        <v>221</v>
      </c>
      <c r="E264" s="8" t="s">
        <v>44</v>
      </c>
      <c r="F264" s="8" t="s">
        <v>45</v>
      </c>
      <c r="G264" s="10">
        <v>1473.0</v>
      </c>
      <c r="H264" s="10">
        <v>5700.0</v>
      </c>
      <c r="I264" s="12"/>
    </row>
    <row r="265">
      <c r="A265" s="8" t="s">
        <v>134</v>
      </c>
      <c r="B265" s="10">
        <v>12200.0</v>
      </c>
      <c r="C265" s="8" t="s">
        <v>221</v>
      </c>
      <c r="D265" s="8" t="s">
        <v>186</v>
      </c>
      <c r="E265" s="8" t="s">
        <v>40</v>
      </c>
      <c r="F265" s="8" t="s">
        <v>29</v>
      </c>
      <c r="G265" s="12"/>
      <c r="H265" s="10">
        <v>0.0</v>
      </c>
      <c r="I265" s="14"/>
    </row>
    <row r="266">
      <c r="A266" s="8" t="s">
        <v>134</v>
      </c>
      <c r="B266" s="10">
        <v>12200.0</v>
      </c>
      <c r="C266" s="8" t="s">
        <v>186</v>
      </c>
      <c r="D266" s="8" t="s">
        <v>210</v>
      </c>
      <c r="E266" s="8" t="s">
        <v>211</v>
      </c>
      <c r="F266" s="8" t="s">
        <v>49</v>
      </c>
      <c r="G266" s="12"/>
      <c r="H266" s="10">
        <v>3500.0</v>
      </c>
      <c r="I266" s="8" t="s">
        <v>51</v>
      </c>
    </row>
    <row r="267">
      <c r="A267" s="8" t="s">
        <v>134</v>
      </c>
      <c r="B267" s="10">
        <v>12200.0</v>
      </c>
      <c r="C267" s="8" t="s">
        <v>210</v>
      </c>
      <c r="D267" s="8" t="s">
        <v>53</v>
      </c>
      <c r="E267" s="8">
        <v>1.0</v>
      </c>
      <c r="F267" s="8" t="s">
        <v>49</v>
      </c>
      <c r="G267" s="12"/>
      <c r="H267" s="10">
        <v>0.0</v>
      </c>
      <c r="I267" s="8" t="s">
        <v>56</v>
      </c>
    </row>
    <row r="268">
      <c r="A268" s="8" t="s">
        <v>134</v>
      </c>
      <c r="B268" s="10">
        <v>12200.0</v>
      </c>
      <c r="C268" s="8" t="s">
        <v>53</v>
      </c>
      <c r="D268" s="8" t="s">
        <v>53</v>
      </c>
      <c r="E268" s="8" t="s">
        <v>57</v>
      </c>
      <c r="F268" s="8" t="s">
        <v>29</v>
      </c>
      <c r="G268" s="12"/>
      <c r="H268" s="10">
        <v>0.0</v>
      </c>
      <c r="I268" s="12"/>
    </row>
    <row r="269">
      <c r="A269" s="8" t="s">
        <v>136</v>
      </c>
      <c r="B269" s="10">
        <v>6500.0</v>
      </c>
      <c r="C269" s="8" t="s">
        <v>25</v>
      </c>
      <c r="D269" s="8" t="s">
        <v>26</v>
      </c>
      <c r="E269" s="8" t="s">
        <v>27</v>
      </c>
      <c r="F269" s="8" t="s">
        <v>29</v>
      </c>
      <c r="G269" s="12"/>
      <c r="H269" s="10">
        <v>0.0</v>
      </c>
      <c r="I269" s="14"/>
    </row>
    <row r="270">
      <c r="A270" s="8" t="s">
        <v>136</v>
      </c>
      <c r="B270" s="10">
        <v>6500.0</v>
      </c>
      <c r="C270" s="8" t="s">
        <v>26</v>
      </c>
      <c r="D270" s="8" t="s">
        <v>223</v>
      </c>
      <c r="E270" s="8" t="s">
        <v>37</v>
      </c>
      <c r="F270" s="8" t="s">
        <v>38</v>
      </c>
      <c r="G270" s="10">
        <v>3693.0</v>
      </c>
      <c r="H270" s="10">
        <v>3000.0</v>
      </c>
      <c r="I270" s="14"/>
    </row>
    <row r="271">
      <c r="A271" s="8" t="s">
        <v>136</v>
      </c>
      <c r="B271" s="10">
        <v>6500.0</v>
      </c>
      <c r="C271" s="8" t="s">
        <v>223</v>
      </c>
      <c r="D271" s="8" t="s">
        <v>224</v>
      </c>
      <c r="E271" s="8" t="s">
        <v>225</v>
      </c>
      <c r="F271" s="8" t="s">
        <v>49</v>
      </c>
      <c r="G271" s="12"/>
      <c r="H271" s="10">
        <v>3500.0</v>
      </c>
      <c r="I271" s="8" t="s">
        <v>51</v>
      </c>
    </row>
    <row r="272">
      <c r="A272" s="8" t="s">
        <v>136</v>
      </c>
      <c r="B272" s="10">
        <v>6500.0</v>
      </c>
      <c r="C272" s="8" t="s">
        <v>224</v>
      </c>
      <c r="D272" s="8" t="s">
        <v>228</v>
      </c>
      <c r="E272" s="8" t="s">
        <v>40</v>
      </c>
      <c r="F272" s="8" t="s">
        <v>29</v>
      </c>
      <c r="G272" s="14"/>
      <c r="H272" s="10">
        <v>0.0</v>
      </c>
      <c r="I272" s="12"/>
    </row>
    <row r="273">
      <c r="A273" s="8" t="s">
        <v>136</v>
      </c>
      <c r="B273" s="10">
        <v>6500.0</v>
      </c>
      <c r="C273" s="8" t="s">
        <v>228</v>
      </c>
      <c r="D273" s="8" t="s">
        <v>186</v>
      </c>
      <c r="E273" s="8">
        <v>9.0</v>
      </c>
      <c r="F273" s="8" t="s">
        <v>49</v>
      </c>
      <c r="G273" s="12"/>
      <c r="H273" s="10">
        <v>0.0</v>
      </c>
      <c r="I273" s="8" t="s">
        <v>56</v>
      </c>
    </row>
    <row r="274">
      <c r="A274" s="8" t="s">
        <v>136</v>
      </c>
      <c r="B274" s="10">
        <v>6500.0</v>
      </c>
      <c r="C274" s="8" t="s">
        <v>186</v>
      </c>
      <c r="D274" s="8" t="s">
        <v>189</v>
      </c>
      <c r="E274" s="8" t="s">
        <v>190</v>
      </c>
      <c r="F274" s="8" t="s">
        <v>49</v>
      </c>
      <c r="G274" s="12"/>
      <c r="H274" s="10">
        <v>0.0</v>
      </c>
      <c r="I274" s="8" t="s">
        <v>56</v>
      </c>
    </row>
    <row r="275">
      <c r="A275" s="8" t="s">
        <v>136</v>
      </c>
      <c r="B275" s="10">
        <v>6500.0</v>
      </c>
      <c r="C275" s="8" t="s">
        <v>189</v>
      </c>
      <c r="D275" s="8" t="s">
        <v>52</v>
      </c>
      <c r="E275" s="8" t="s">
        <v>40</v>
      </c>
      <c r="F275" s="8" t="s">
        <v>29</v>
      </c>
      <c r="G275" s="12"/>
      <c r="H275" s="10">
        <v>0.0</v>
      </c>
      <c r="I275" s="14"/>
    </row>
    <row r="276">
      <c r="A276" s="8" t="s">
        <v>136</v>
      </c>
      <c r="B276" s="10">
        <v>6500.0</v>
      </c>
      <c r="C276" s="8" t="s">
        <v>52</v>
      </c>
      <c r="D276" s="8" t="s">
        <v>53</v>
      </c>
      <c r="E276" s="8">
        <v>1.0</v>
      </c>
      <c r="F276" s="8" t="s">
        <v>49</v>
      </c>
      <c r="G276" s="12"/>
      <c r="H276" s="10">
        <v>0.0</v>
      </c>
      <c r="I276" s="8" t="s">
        <v>56</v>
      </c>
    </row>
    <row r="277">
      <c r="A277" s="8" t="s">
        <v>136</v>
      </c>
      <c r="B277" s="10">
        <v>6500.0</v>
      </c>
      <c r="C277" s="8" t="s">
        <v>53</v>
      </c>
      <c r="D277" s="8" t="s">
        <v>53</v>
      </c>
      <c r="E277" s="8" t="s">
        <v>57</v>
      </c>
      <c r="F277" s="8" t="s">
        <v>29</v>
      </c>
      <c r="G277" s="12"/>
      <c r="H277" s="10">
        <v>0.0</v>
      </c>
      <c r="I277" s="12"/>
    </row>
    <row r="278">
      <c r="A278" s="8" t="s">
        <v>138</v>
      </c>
      <c r="B278" s="10">
        <v>6500.0</v>
      </c>
      <c r="C278" s="8" t="s">
        <v>25</v>
      </c>
      <c r="D278" s="8" t="s">
        <v>26</v>
      </c>
      <c r="E278" s="8" t="s">
        <v>27</v>
      </c>
      <c r="F278" s="8" t="s">
        <v>29</v>
      </c>
      <c r="G278" s="12"/>
      <c r="H278" s="10">
        <v>0.0</v>
      </c>
      <c r="I278" s="14"/>
    </row>
    <row r="279">
      <c r="A279" s="8" t="s">
        <v>138</v>
      </c>
      <c r="B279" s="10">
        <v>6500.0</v>
      </c>
      <c r="C279" s="8" t="s">
        <v>26</v>
      </c>
      <c r="D279" s="8" t="s">
        <v>223</v>
      </c>
      <c r="E279" s="8" t="s">
        <v>37</v>
      </c>
      <c r="F279" s="8" t="s">
        <v>38</v>
      </c>
      <c r="G279" s="10">
        <v>3693.0</v>
      </c>
      <c r="H279" s="10">
        <v>3000.0</v>
      </c>
      <c r="I279" s="12"/>
    </row>
    <row r="280">
      <c r="A280" s="8" t="s">
        <v>138</v>
      </c>
      <c r="B280" s="10">
        <v>6500.0</v>
      </c>
      <c r="C280" s="8" t="s">
        <v>223</v>
      </c>
      <c r="D280" s="8" t="s">
        <v>224</v>
      </c>
      <c r="E280" s="8" t="s">
        <v>225</v>
      </c>
      <c r="F280" s="8" t="s">
        <v>49</v>
      </c>
      <c r="G280" s="14"/>
      <c r="H280" s="10">
        <v>3500.0</v>
      </c>
      <c r="I280" s="8" t="s">
        <v>51</v>
      </c>
    </row>
    <row r="281">
      <c r="A281" s="8" t="s">
        <v>138</v>
      </c>
      <c r="B281" s="10">
        <v>6500.0</v>
      </c>
      <c r="C281" s="8" t="s">
        <v>224</v>
      </c>
      <c r="D281" s="8" t="s">
        <v>228</v>
      </c>
      <c r="E281" s="8" t="s">
        <v>40</v>
      </c>
      <c r="F281" s="8" t="s">
        <v>29</v>
      </c>
      <c r="G281" s="12"/>
      <c r="H281" s="10">
        <v>0.0</v>
      </c>
      <c r="I281" s="14"/>
    </row>
    <row r="282">
      <c r="A282" s="8" t="s">
        <v>138</v>
      </c>
      <c r="B282" s="10">
        <v>6500.0</v>
      </c>
      <c r="C282" s="8" t="s">
        <v>228</v>
      </c>
      <c r="D282" s="8" t="s">
        <v>186</v>
      </c>
      <c r="E282" s="8">
        <v>9.0</v>
      </c>
      <c r="F282" s="8" t="s">
        <v>49</v>
      </c>
      <c r="G282" s="12"/>
      <c r="H282" s="10">
        <v>0.0</v>
      </c>
      <c r="I282" s="8" t="s">
        <v>56</v>
      </c>
    </row>
    <row r="283">
      <c r="A283" s="8" t="s">
        <v>138</v>
      </c>
      <c r="B283" s="10">
        <v>6500.0</v>
      </c>
      <c r="C283" s="8" t="s">
        <v>186</v>
      </c>
      <c r="D283" s="8" t="s">
        <v>203</v>
      </c>
      <c r="E283" s="8" t="s">
        <v>204</v>
      </c>
      <c r="F283" s="8" t="s">
        <v>49</v>
      </c>
      <c r="G283" s="12"/>
      <c r="H283" s="10">
        <v>0.0</v>
      </c>
      <c r="I283" s="8" t="s">
        <v>56</v>
      </c>
    </row>
    <row r="284">
      <c r="A284" s="8" t="s">
        <v>138</v>
      </c>
      <c r="B284" s="10">
        <v>6500.0</v>
      </c>
      <c r="C284" s="8" t="s">
        <v>203</v>
      </c>
      <c r="D284" s="8" t="s">
        <v>202</v>
      </c>
      <c r="E284" s="8" t="s">
        <v>40</v>
      </c>
      <c r="F284" s="8" t="s">
        <v>29</v>
      </c>
      <c r="G284" s="12"/>
      <c r="H284" s="10">
        <v>0.0</v>
      </c>
      <c r="I284" s="14"/>
    </row>
    <row r="285">
      <c r="A285" s="8" t="s">
        <v>138</v>
      </c>
      <c r="B285" s="10">
        <v>6500.0</v>
      </c>
      <c r="C285" s="8" t="s">
        <v>202</v>
      </c>
      <c r="D285" s="8" t="s">
        <v>52</v>
      </c>
      <c r="E285" s="8" t="s">
        <v>209</v>
      </c>
      <c r="F285" s="8" t="s">
        <v>49</v>
      </c>
      <c r="G285" s="12"/>
      <c r="H285" s="10">
        <v>0.0</v>
      </c>
      <c r="I285" s="8" t="s">
        <v>56</v>
      </c>
    </row>
    <row r="286">
      <c r="A286" s="8" t="s">
        <v>138</v>
      </c>
      <c r="B286" s="10">
        <v>6500.0</v>
      </c>
      <c r="C286" s="8" t="s">
        <v>52</v>
      </c>
      <c r="D286" s="8" t="s">
        <v>53</v>
      </c>
      <c r="E286" s="8">
        <v>1.0</v>
      </c>
      <c r="F286" s="8" t="s">
        <v>49</v>
      </c>
      <c r="G286" s="12"/>
      <c r="H286" s="10">
        <v>0.0</v>
      </c>
      <c r="I286" s="8" t="s">
        <v>56</v>
      </c>
    </row>
    <row r="287">
      <c r="A287" s="8" t="s">
        <v>138</v>
      </c>
      <c r="B287" s="10">
        <v>6500.0</v>
      </c>
      <c r="C287" s="8" t="s">
        <v>53</v>
      </c>
      <c r="D287" s="8" t="s">
        <v>53</v>
      </c>
      <c r="E287" s="8" t="s">
        <v>57</v>
      </c>
      <c r="F287" s="8" t="s">
        <v>29</v>
      </c>
      <c r="G287" s="14"/>
      <c r="H287" s="10">
        <v>0.0</v>
      </c>
      <c r="I287" s="12"/>
    </row>
    <row r="288">
      <c r="A288" s="8" t="s">
        <v>140</v>
      </c>
      <c r="B288" s="10">
        <v>6500.0</v>
      </c>
      <c r="C288" s="8" t="s">
        <v>25</v>
      </c>
      <c r="D288" s="8" t="s">
        <v>26</v>
      </c>
      <c r="E288" s="8" t="s">
        <v>27</v>
      </c>
      <c r="F288" s="8" t="s">
        <v>29</v>
      </c>
      <c r="G288" s="12"/>
      <c r="H288" s="10">
        <v>0.0</v>
      </c>
      <c r="I288" s="14"/>
    </row>
    <row r="289">
      <c r="A289" s="8" t="s">
        <v>140</v>
      </c>
      <c r="B289" s="10">
        <v>6500.0</v>
      </c>
      <c r="C289" s="8" t="s">
        <v>26</v>
      </c>
      <c r="D289" s="8" t="s">
        <v>223</v>
      </c>
      <c r="E289" s="8" t="s">
        <v>37</v>
      </c>
      <c r="F289" s="8" t="s">
        <v>38</v>
      </c>
      <c r="G289" s="10">
        <v>3693.0</v>
      </c>
      <c r="H289" s="10">
        <v>3000.0</v>
      </c>
      <c r="I289" s="12"/>
    </row>
    <row r="290">
      <c r="A290" s="8" t="s">
        <v>140</v>
      </c>
      <c r="B290" s="10">
        <v>6500.0</v>
      </c>
      <c r="C290" s="8" t="s">
        <v>223</v>
      </c>
      <c r="D290" s="8" t="s">
        <v>224</v>
      </c>
      <c r="E290" s="8" t="s">
        <v>225</v>
      </c>
      <c r="F290" s="8" t="s">
        <v>49</v>
      </c>
      <c r="G290" s="12"/>
      <c r="H290" s="10">
        <v>3500.0</v>
      </c>
      <c r="I290" s="8" t="s">
        <v>51</v>
      </c>
    </row>
    <row r="291">
      <c r="A291" s="8" t="s">
        <v>140</v>
      </c>
      <c r="B291" s="10">
        <v>6500.0</v>
      </c>
      <c r="C291" s="8" t="s">
        <v>224</v>
      </c>
      <c r="D291" s="8" t="s">
        <v>228</v>
      </c>
      <c r="E291" s="8" t="s">
        <v>40</v>
      </c>
      <c r="F291" s="8" t="s">
        <v>29</v>
      </c>
      <c r="G291" s="12"/>
      <c r="H291" s="10">
        <v>0.0</v>
      </c>
      <c r="I291" s="12"/>
    </row>
    <row r="292">
      <c r="A292" s="8" t="s">
        <v>140</v>
      </c>
      <c r="B292" s="10">
        <v>6500.0</v>
      </c>
      <c r="C292" s="8" t="s">
        <v>228</v>
      </c>
      <c r="D292" s="8" t="s">
        <v>186</v>
      </c>
      <c r="E292" s="8">
        <v>9.0</v>
      </c>
      <c r="F292" s="8" t="s">
        <v>49</v>
      </c>
      <c r="G292" s="12"/>
      <c r="H292" s="10">
        <v>0.0</v>
      </c>
      <c r="I292" s="8" t="s">
        <v>56</v>
      </c>
    </row>
    <row r="293">
      <c r="A293" s="8" t="s">
        <v>140</v>
      </c>
      <c r="B293" s="10">
        <v>6500.0</v>
      </c>
      <c r="C293" s="8" t="s">
        <v>186</v>
      </c>
      <c r="D293" s="8" t="s">
        <v>203</v>
      </c>
      <c r="E293" s="8" t="s">
        <v>204</v>
      </c>
      <c r="F293" s="8" t="s">
        <v>49</v>
      </c>
      <c r="G293" s="12"/>
      <c r="H293" s="10">
        <v>0.0</v>
      </c>
      <c r="I293" s="8" t="s">
        <v>56</v>
      </c>
    </row>
    <row r="294">
      <c r="A294" s="8" t="s">
        <v>140</v>
      </c>
      <c r="B294" s="10">
        <v>6500.0</v>
      </c>
      <c r="C294" s="8" t="s">
        <v>203</v>
      </c>
      <c r="D294" s="8" t="s">
        <v>202</v>
      </c>
      <c r="E294" s="8" t="s">
        <v>40</v>
      </c>
      <c r="F294" s="8" t="s">
        <v>29</v>
      </c>
      <c r="G294" s="12"/>
      <c r="H294" s="10">
        <v>0.0</v>
      </c>
      <c r="I294" s="12"/>
    </row>
    <row r="295">
      <c r="A295" s="8" t="s">
        <v>140</v>
      </c>
      <c r="B295" s="10">
        <v>6500.0</v>
      </c>
      <c r="C295" s="8" t="s">
        <v>202</v>
      </c>
      <c r="D295" s="8" t="s">
        <v>115</v>
      </c>
      <c r="E295" s="8" t="s">
        <v>207</v>
      </c>
      <c r="F295" s="8" t="s">
        <v>49</v>
      </c>
      <c r="G295" s="14"/>
      <c r="H295" s="10">
        <v>0.0</v>
      </c>
      <c r="I295" s="8" t="s">
        <v>56</v>
      </c>
    </row>
    <row r="296">
      <c r="A296" s="8" t="s">
        <v>140</v>
      </c>
      <c r="B296" s="10">
        <v>6500.0</v>
      </c>
      <c r="C296" s="8" t="s">
        <v>115</v>
      </c>
      <c r="D296" s="8" t="s">
        <v>53</v>
      </c>
      <c r="E296" s="8" t="s">
        <v>57</v>
      </c>
      <c r="F296" s="8" t="s">
        <v>29</v>
      </c>
      <c r="G296" s="12"/>
      <c r="H296" s="10">
        <v>0.0</v>
      </c>
      <c r="I296" s="14"/>
    </row>
    <row r="297">
      <c r="A297" s="8" t="s">
        <v>142</v>
      </c>
      <c r="B297" s="10">
        <v>6500.0</v>
      </c>
      <c r="C297" s="8" t="s">
        <v>25</v>
      </c>
      <c r="D297" s="8" t="s">
        <v>26</v>
      </c>
      <c r="E297" s="8" t="s">
        <v>27</v>
      </c>
      <c r="F297" s="8" t="s">
        <v>29</v>
      </c>
      <c r="G297" s="12"/>
      <c r="H297" s="10">
        <v>0.0</v>
      </c>
      <c r="I297" s="12"/>
    </row>
    <row r="298">
      <c r="A298" s="8" t="s">
        <v>142</v>
      </c>
      <c r="B298" s="10">
        <v>6500.0</v>
      </c>
      <c r="C298" s="8" t="s">
        <v>26</v>
      </c>
      <c r="D298" s="8" t="s">
        <v>223</v>
      </c>
      <c r="E298" s="8" t="s">
        <v>37</v>
      </c>
      <c r="F298" s="8" t="s">
        <v>38</v>
      </c>
      <c r="G298" s="10">
        <v>3693.0</v>
      </c>
      <c r="H298" s="10">
        <v>3000.0</v>
      </c>
      <c r="I298" s="14"/>
    </row>
    <row r="299">
      <c r="A299" s="8" t="s">
        <v>142</v>
      </c>
      <c r="B299" s="10">
        <v>6500.0</v>
      </c>
      <c r="C299" s="8" t="s">
        <v>223</v>
      </c>
      <c r="D299" s="8" t="s">
        <v>224</v>
      </c>
      <c r="E299" s="8" t="s">
        <v>225</v>
      </c>
      <c r="F299" s="8" t="s">
        <v>49</v>
      </c>
      <c r="G299" s="12"/>
      <c r="H299" s="10">
        <v>3500.0</v>
      </c>
      <c r="I299" s="8" t="s">
        <v>51</v>
      </c>
    </row>
    <row r="300">
      <c r="A300" s="8" t="s">
        <v>142</v>
      </c>
      <c r="B300" s="10">
        <v>6500.0</v>
      </c>
      <c r="C300" s="8" t="s">
        <v>224</v>
      </c>
      <c r="D300" s="8" t="s">
        <v>228</v>
      </c>
      <c r="E300" s="8" t="s">
        <v>40</v>
      </c>
      <c r="F300" s="8" t="s">
        <v>29</v>
      </c>
      <c r="G300" s="12"/>
      <c r="H300" s="10">
        <v>0.0</v>
      </c>
      <c r="I300" s="14"/>
    </row>
    <row r="301">
      <c r="A301" s="8" t="s">
        <v>142</v>
      </c>
      <c r="B301" s="10">
        <v>6500.0</v>
      </c>
      <c r="C301" s="8" t="s">
        <v>228</v>
      </c>
      <c r="D301" s="8" t="s">
        <v>186</v>
      </c>
      <c r="E301" s="8">
        <v>9.0</v>
      </c>
      <c r="F301" s="8" t="s">
        <v>49</v>
      </c>
      <c r="G301" s="12"/>
      <c r="H301" s="10">
        <v>0.0</v>
      </c>
      <c r="I301" s="8" t="s">
        <v>56</v>
      </c>
    </row>
    <row r="302">
      <c r="A302" s="8" t="s">
        <v>142</v>
      </c>
      <c r="B302" s="10">
        <v>6500.0</v>
      </c>
      <c r="C302" s="8" t="s">
        <v>186</v>
      </c>
      <c r="D302" s="8" t="s">
        <v>52</v>
      </c>
      <c r="E302" s="8" t="s">
        <v>208</v>
      </c>
      <c r="F302" s="8" t="s">
        <v>49</v>
      </c>
      <c r="G302" s="14"/>
      <c r="H302" s="10">
        <v>0.0</v>
      </c>
      <c r="I302" s="8" t="s">
        <v>56</v>
      </c>
    </row>
    <row r="303">
      <c r="A303" s="8" t="s">
        <v>142</v>
      </c>
      <c r="B303" s="10">
        <v>6500.0</v>
      </c>
      <c r="C303" s="8" t="s">
        <v>52</v>
      </c>
      <c r="D303" s="8" t="s">
        <v>53</v>
      </c>
      <c r="E303" s="8">
        <v>1.0</v>
      </c>
      <c r="F303" s="8" t="s">
        <v>49</v>
      </c>
      <c r="G303" s="12"/>
      <c r="H303" s="10">
        <v>0.0</v>
      </c>
      <c r="I303" s="8" t="s">
        <v>56</v>
      </c>
    </row>
    <row r="304">
      <c r="A304" s="8" t="s">
        <v>142</v>
      </c>
      <c r="B304" s="10">
        <v>6500.0</v>
      </c>
      <c r="C304" s="8" t="s">
        <v>53</v>
      </c>
      <c r="D304" s="8" t="s">
        <v>53</v>
      </c>
      <c r="E304" s="8" t="s">
        <v>57</v>
      </c>
      <c r="F304" s="8" t="s">
        <v>29</v>
      </c>
      <c r="G304" s="12"/>
      <c r="H304" s="10">
        <v>0.0</v>
      </c>
      <c r="I304" s="12"/>
    </row>
    <row r="305">
      <c r="A305" s="8" t="s">
        <v>144</v>
      </c>
      <c r="B305" s="10">
        <v>6500.0</v>
      </c>
      <c r="C305" s="8" t="s">
        <v>25</v>
      </c>
      <c r="D305" s="8" t="s">
        <v>26</v>
      </c>
      <c r="E305" s="8" t="s">
        <v>27</v>
      </c>
      <c r="F305" s="8" t="s">
        <v>29</v>
      </c>
      <c r="G305" s="12"/>
      <c r="H305" s="10">
        <v>0.0</v>
      </c>
      <c r="I305" s="14"/>
    </row>
    <row r="306">
      <c r="A306" s="8" t="s">
        <v>144</v>
      </c>
      <c r="B306" s="10">
        <v>6500.0</v>
      </c>
      <c r="C306" s="8" t="s">
        <v>26</v>
      </c>
      <c r="D306" s="8" t="s">
        <v>223</v>
      </c>
      <c r="E306" s="8" t="s">
        <v>37</v>
      </c>
      <c r="F306" s="8" t="s">
        <v>38</v>
      </c>
      <c r="G306" s="10">
        <v>3693.0</v>
      </c>
      <c r="H306" s="10">
        <v>3000.0</v>
      </c>
      <c r="I306" s="14"/>
    </row>
    <row r="307">
      <c r="A307" s="8" t="s">
        <v>144</v>
      </c>
      <c r="B307" s="10">
        <v>6500.0</v>
      </c>
      <c r="C307" s="8" t="s">
        <v>223</v>
      </c>
      <c r="D307" s="8" t="s">
        <v>224</v>
      </c>
      <c r="E307" s="8" t="s">
        <v>225</v>
      </c>
      <c r="F307" s="8" t="s">
        <v>49</v>
      </c>
      <c r="G307" s="12"/>
      <c r="H307" s="10">
        <v>3500.0</v>
      </c>
      <c r="I307" s="8" t="s">
        <v>51</v>
      </c>
    </row>
    <row r="308">
      <c r="A308" s="8" t="s">
        <v>144</v>
      </c>
      <c r="B308" s="10">
        <v>6500.0</v>
      </c>
      <c r="C308" s="8" t="s">
        <v>224</v>
      </c>
      <c r="D308" s="8" t="s">
        <v>228</v>
      </c>
      <c r="E308" s="8" t="s">
        <v>40</v>
      </c>
      <c r="F308" s="8" t="s">
        <v>29</v>
      </c>
      <c r="G308" s="14"/>
      <c r="H308" s="10">
        <v>0.0</v>
      </c>
      <c r="I308" s="12"/>
    </row>
    <row r="309">
      <c r="A309" s="8" t="s">
        <v>144</v>
      </c>
      <c r="B309" s="10">
        <v>6500.0</v>
      </c>
      <c r="C309" s="8" t="s">
        <v>228</v>
      </c>
      <c r="D309" s="8" t="s">
        <v>199</v>
      </c>
      <c r="E309" s="8">
        <v>9.0</v>
      </c>
      <c r="F309" s="8" t="s">
        <v>49</v>
      </c>
      <c r="G309" s="12"/>
      <c r="H309" s="10">
        <v>0.0</v>
      </c>
      <c r="I309" s="8" t="s">
        <v>56</v>
      </c>
    </row>
    <row r="310">
      <c r="A310" s="8" t="s">
        <v>144</v>
      </c>
      <c r="B310" s="10">
        <v>6500.0</v>
      </c>
      <c r="C310" s="8" t="s">
        <v>199</v>
      </c>
      <c r="D310" s="8" t="s">
        <v>202</v>
      </c>
      <c r="E310" s="8" t="s">
        <v>40</v>
      </c>
      <c r="F310" s="8" t="s">
        <v>29</v>
      </c>
      <c r="G310" s="12"/>
      <c r="H310" s="10">
        <v>0.0</v>
      </c>
      <c r="I310" s="12"/>
    </row>
    <row r="311">
      <c r="A311" s="8" t="s">
        <v>144</v>
      </c>
      <c r="B311" s="10">
        <v>6500.0</v>
      </c>
      <c r="C311" s="8" t="s">
        <v>202</v>
      </c>
      <c r="D311" s="8" t="s">
        <v>52</v>
      </c>
      <c r="E311" s="8" t="s">
        <v>209</v>
      </c>
      <c r="F311" s="8" t="s">
        <v>49</v>
      </c>
      <c r="G311" s="12"/>
      <c r="H311" s="10">
        <v>0.0</v>
      </c>
      <c r="I311" s="8" t="s">
        <v>56</v>
      </c>
    </row>
    <row r="312">
      <c r="A312" s="8" t="s">
        <v>144</v>
      </c>
      <c r="B312" s="10">
        <v>6500.0</v>
      </c>
      <c r="C312" s="8" t="s">
        <v>52</v>
      </c>
      <c r="D312" s="8" t="s">
        <v>53</v>
      </c>
      <c r="E312" s="8">
        <v>1.0</v>
      </c>
      <c r="F312" s="8" t="s">
        <v>49</v>
      </c>
      <c r="G312" s="12"/>
      <c r="H312" s="10">
        <v>0.0</v>
      </c>
      <c r="I312" s="8" t="s">
        <v>56</v>
      </c>
    </row>
    <row r="313">
      <c r="A313" s="8" t="s">
        <v>144</v>
      </c>
      <c r="B313" s="10">
        <v>6500.0</v>
      </c>
      <c r="C313" s="8" t="s">
        <v>53</v>
      </c>
      <c r="D313" s="8" t="s">
        <v>53</v>
      </c>
      <c r="E313" s="8" t="s">
        <v>57</v>
      </c>
      <c r="F313" s="8" t="s">
        <v>29</v>
      </c>
      <c r="G313" s="12"/>
      <c r="H313" s="10">
        <v>0.0</v>
      </c>
      <c r="I313" s="12"/>
    </row>
    <row r="314">
      <c r="A314" s="8" t="s">
        <v>146</v>
      </c>
      <c r="B314" s="10">
        <v>6500.0</v>
      </c>
      <c r="C314" s="8" t="s">
        <v>25</v>
      </c>
      <c r="D314" s="8" t="s">
        <v>26</v>
      </c>
      <c r="E314" s="8" t="s">
        <v>27</v>
      </c>
      <c r="F314" s="8" t="s">
        <v>29</v>
      </c>
      <c r="G314" s="14"/>
      <c r="H314" s="10">
        <v>0.0</v>
      </c>
      <c r="I314" s="12"/>
    </row>
    <row r="315">
      <c r="A315" s="8" t="s">
        <v>146</v>
      </c>
      <c r="B315" s="10">
        <v>6500.0</v>
      </c>
      <c r="C315" s="8" t="s">
        <v>26</v>
      </c>
      <c r="D315" s="8" t="s">
        <v>223</v>
      </c>
      <c r="E315" s="8" t="s">
        <v>37</v>
      </c>
      <c r="F315" s="8" t="s">
        <v>38</v>
      </c>
      <c r="G315" s="10">
        <v>3693.0</v>
      </c>
      <c r="H315" s="10">
        <v>3000.0</v>
      </c>
      <c r="I315" s="14"/>
    </row>
    <row r="316">
      <c r="A316" s="8" t="s">
        <v>146</v>
      </c>
      <c r="B316" s="10">
        <v>6500.0</v>
      </c>
      <c r="C316" s="8" t="s">
        <v>223</v>
      </c>
      <c r="D316" s="8" t="s">
        <v>224</v>
      </c>
      <c r="E316" s="8" t="s">
        <v>225</v>
      </c>
      <c r="F316" s="8" t="s">
        <v>49</v>
      </c>
      <c r="G316" s="12"/>
      <c r="H316" s="10">
        <v>3500.0</v>
      </c>
      <c r="I316" s="8" t="s">
        <v>51</v>
      </c>
    </row>
    <row r="317">
      <c r="A317" s="8" t="s">
        <v>146</v>
      </c>
      <c r="B317" s="10">
        <v>6500.0</v>
      </c>
      <c r="C317" s="8" t="s">
        <v>224</v>
      </c>
      <c r="D317" s="8" t="s">
        <v>228</v>
      </c>
      <c r="E317" s="8" t="s">
        <v>40</v>
      </c>
      <c r="F317" s="8" t="s">
        <v>29</v>
      </c>
      <c r="G317" s="12"/>
      <c r="H317" s="10">
        <v>0.0</v>
      </c>
      <c r="I317" s="14"/>
    </row>
    <row r="318">
      <c r="A318" s="8" t="s">
        <v>146</v>
      </c>
      <c r="B318" s="10">
        <v>6500.0</v>
      </c>
      <c r="C318" s="8" t="s">
        <v>228</v>
      </c>
      <c r="D318" s="8" t="s">
        <v>186</v>
      </c>
      <c r="E318" s="8">
        <v>9.0</v>
      </c>
      <c r="F318" s="8" t="s">
        <v>49</v>
      </c>
      <c r="G318" s="12"/>
      <c r="H318" s="10">
        <v>0.0</v>
      </c>
      <c r="I318" s="8" t="s">
        <v>56</v>
      </c>
    </row>
    <row r="319">
      <c r="A319" s="8" t="s">
        <v>146</v>
      </c>
      <c r="B319" s="10">
        <v>6500.0</v>
      </c>
      <c r="C319" s="8" t="s">
        <v>186</v>
      </c>
      <c r="D319" s="8" t="s">
        <v>199</v>
      </c>
      <c r="E319" s="8">
        <v>9.0</v>
      </c>
      <c r="F319" s="8" t="s">
        <v>49</v>
      </c>
      <c r="G319" s="12"/>
      <c r="H319" s="10">
        <v>0.0</v>
      </c>
      <c r="I319" s="8" t="s">
        <v>56</v>
      </c>
    </row>
    <row r="320">
      <c r="A320" s="8" t="s">
        <v>146</v>
      </c>
      <c r="B320" s="10">
        <v>6500.0</v>
      </c>
      <c r="C320" s="8" t="s">
        <v>199</v>
      </c>
      <c r="D320" s="8" t="s">
        <v>202</v>
      </c>
      <c r="E320" s="8" t="s">
        <v>40</v>
      </c>
      <c r="F320" s="8" t="s">
        <v>29</v>
      </c>
      <c r="G320" s="12"/>
      <c r="H320" s="10">
        <v>0.0</v>
      </c>
      <c r="I320" s="12"/>
    </row>
    <row r="321">
      <c r="A321" s="8" t="s">
        <v>146</v>
      </c>
      <c r="B321" s="10">
        <v>6500.0</v>
      </c>
      <c r="C321" s="8" t="s">
        <v>202</v>
      </c>
      <c r="D321" s="8" t="s">
        <v>115</v>
      </c>
      <c r="E321" s="8" t="s">
        <v>207</v>
      </c>
      <c r="F321" s="8" t="s">
        <v>49</v>
      </c>
      <c r="G321" s="14"/>
      <c r="H321" s="10">
        <v>0.0</v>
      </c>
      <c r="I321" s="8" t="s">
        <v>56</v>
      </c>
    </row>
    <row r="322">
      <c r="A322" s="8" t="s">
        <v>146</v>
      </c>
      <c r="B322" s="10">
        <v>6500.0</v>
      </c>
      <c r="C322" s="8" t="s">
        <v>115</v>
      </c>
      <c r="D322" s="8" t="s">
        <v>53</v>
      </c>
      <c r="E322" s="8" t="s">
        <v>57</v>
      </c>
      <c r="F322" s="8" t="s">
        <v>29</v>
      </c>
      <c r="G322" s="12"/>
      <c r="H322" s="10">
        <v>0.0</v>
      </c>
      <c r="I322" s="14"/>
    </row>
    <row r="323">
      <c r="A323" s="8" t="s">
        <v>148</v>
      </c>
      <c r="B323" s="10">
        <v>6500.0</v>
      </c>
      <c r="C323" s="8" t="s">
        <v>25</v>
      </c>
      <c r="D323" s="8" t="s">
        <v>26</v>
      </c>
      <c r="E323" s="8" t="s">
        <v>27</v>
      </c>
      <c r="F323" s="8" t="s">
        <v>29</v>
      </c>
      <c r="G323" s="12"/>
      <c r="H323" s="10">
        <v>0.0</v>
      </c>
      <c r="I323" s="12"/>
    </row>
    <row r="324">
      <c r="A324" s="8" t="s">
        <v>148</v>
      </c>
      <c r="B324" s="10">
        <v>6500.0</v>
      </c>
      <c r="C324" s="8" t="s">
        <v>26</v>
      </c>
      <c r="D324" s="8" t="s">
        <v>223</v>
      </c>
      <c r="E324" s="8" t="s">
        <v>37</v>
      </c>
      <c r="F324" s="8" t="s">
        <v>38</v>
      </c>
      <c r="G324" s="10">
        <v>3693.0</v>
      </c>
      <c r="H324" s="10">
        <v>3000.0</v>
      </c>
      <c r="I324" s="14"/>
    </row>
    <row r="325">
      <c r="A325" s="8" t="s">
        <v>148</v>
      </c>
      <c r="B325" s="10">
        <v>6500.0</v>
      </c>
      <c r="C325" s="8" t="s">
        <v>223</v>
      </c>
      <c r="D325" s="8" t="s">
        <v>224</v>
      </c>
      <c r="E325" s="8" t="s">
        <v>225</v>
      </c>
      <c r="F325" s="8" t="s">
        <v>49</v>
      </c>
      <c r="G325" s="12"/>
      <c r="H325" s="10">
        <v>3500.0</v>
      </c>
      <c r="I325" s="8" t="s">
        <v>51</v>
      </c>
    </row>
    <row r="326">
      <c r="A326" s="8" t="s">
        <v>148</v>
      </c>
      <c r="B326" s="10">
        <v>6500.0</v>
      </c>
      <c r="C326" s="8" t="s">
        <v>224</v>
      </c>
      <c r="D326" s="8" t="s">
        <v>228</v>
      </c>
      <c r="E326" s="8" t="s">
        <v>40</v>
      </c>
      <c r="F326" s="8" t="s">
        <v>29</v>
      </c>
      <c r="G326" s="12"/>
      <c r="H326" s="10">
        <v>0.0</v>
      </c>
      <c r="I326" s="14"/>
    </row>
    <row r="327">
      <c r="A327" s="8" t="s">
        <v>148</v>
      </c>
      <c r="B327" s="10">
        <v>6500.0</v>
      </c>
      <c r="C327" s="8" t="s">
        <v>228</v>
      </c>
      <c r="D327" s="8" t="s">
        <v>186</v>
      </c>
      <c r="E327" s="8">
        <v>9.0</v>
      </c>
      <c r="F327" s="8" t="s">
        <v>49</v>
      </c>
      <c r="G327" s="12"/>
      <c r="H327" s="10">
        <v>0.0</v>
      </c>
      <c r="I327" s="8" t="s">
        <v>56</v>
      </c>
    </row>
    <row r="328">
      <c r="A328" s="8" t="s">
        <v>148</v>
      </c>
      <c r="B328" s="10">
        <v>6500.0</v>
      </c>
      <c r="C328" s="8" t="s">
        <v>186</v>
      </c>
      <c r="D328" s="8" t="s">
        <v>210</v>
      </c>
      <c r="E328" s="8" t="s">
        <v>211</v>
      </c>
      <c r="F328" s="8" t="s">
        <v>49</v>
      </c>
      <c r="G328" s="14"/>
      <c r="H328" s="10">
        <v>0.0</v>
      </c>
      <c r="I328" s="8" t="s">
        <v>56</v>
      </c>
    </row>
    <row r="329">
      <c r="A329" s="8" t="s">
        <v>148</v>
      </c>
      <c r="B329" s="10">
        <v>6500.0</v>
      </c>
      <c r="C329" s="8" t="s">
        <v>210</v>
      </c>
      <c r="D329" s="8" t="s">
        <v>53</v>
      </c>
      <c r="E329" s="8">
        <v>1.0</v>
      </c>
      <c r="F329" s="8" t="s">
        <v>49</v>
      </c>
      <c r="G329" s="12"/>
      <c r="H329" s="10">
        <v>0.0</v>
      </c>
      <c r="I329" s="8" t="s">
        <v>56</v>
      </c>
    </row>
    <row r="330">
      <c r="A330" s="8" t="s">
        <v>148</v>
      </c>
      <c r="B330" s="10">
        <v>6500.0</v>
      </c>
      <c r="C330" s="8" t="s">
        <v>53</v>
      </c>
      <c r="D330" s="8" t="s">
        <v>53</v>
      </c>
      <c r="E330" s="8" t="s">
        <v>57</v>
      </c>
      <c r="F330" s="8" t="s">
        <v>29</v>
      </c>
      <c r="G330" s="12"/>
      <c r="H330" s="10">
        <v>0.0</v>
      </c>
      <c r="I330" s="12"/>
    </row>
    <row r="331">
      <c r="A331" s="8" t="s">
        <v>150</v>
      </c>
      <c r="B331" s="10">
        <v>6500.0</v>
      </c>
      <c r="C331" s="8" t="s">
        <v>25</v>
      </c>
      <c r="D331" s="8" t="s">
        <v>26</v>
      </c>
      <c r="E331" s="8" t="s">
        <v>27</v>
      </c>
      <c r="F331" s="8" t="s">
        <v>29</v>
      </c>
      <c r="G331" s="12"/>
      <c r="H331" s="10">
        <v>0.0</v>
      </c>
      <c r="I331" s="14"/>
    </row>
    <row r="332">
      <c r="A332" s="8" t="s">
        <v>150</v>
      </c>
      <c r="B332" s="10">
        <v>6500.0</v>
      </c>
      <c r="C332" s="8" t="s">
        <v>26</v>
      </c>
      <c r="D332" s="8" t="s">
        <v>223</v>
      </c>
      <c r="E332" s="8" t="s">
        <v>37</v>
      </c>
      <c r="F332" s="8" t="s">
        <v>38</v>
      </c>
      <c r="G332" s="10">
        <v>3693.0</v>
      </c>
      <c r="H332" s="10">
        <v>3000.0</v>
      </c>
      <c r="I332" s="12"/>
    </row>
    <row r="333">
      <c r="A333" s="8" t="s">
        <v>150</v>
      </c>
      <c r="B333" s="10">
        <v>6500.0</v>
      </c>
      <c r="C333" s="8" t="s">
        <v>223</v>
      </c>
      <c r="D333" s="8" t="s">
        <v>224</v>
      </c>
      <c r="E333" s="8" t="s">
        <v>225</v>
      </c>
      <c r="F333" s="8" t="s">
        <v>49</v>
      </c>
      <c r="G333" s="12"/>
      <c r="H333" s="10">
        <v>3500.0</v>
      </c>
      <c r="I333" s="8" t="s">
        <v>51</v>
      </c>
    </row>
    <row r="334">
      <c r="A334" s="8" t="s">
        <v>150</v>
      </c>
      <c r="B334" s="10">
        <v>6500.0</v>
      </c>
      <c r="C334" s="8" t="s">
        <v>224</v>
      </c>
      <c r="D334" s="8" t="s">
        <v>228</v>
      </c>
      <c r="E334" s="8" t="s">
        <v>40</v>
      </c>
      <c r="F334" s="8" t="s">
        <v>29</v>
      </c>
      <c r="G334" s="12"/>
      <c r="H334" s="10">
        <v>0.0</v>
      </c>
      <c r="I334" s="14"/>
    </row>
    <row r="335">
      <c r="A335" s="8" t="s">
        <v>150</v>
      </c>
      <c r="B335" s="10">
        <v>6500.0</v>
      </c>
      <c r="C335" s="8" t="s">
        <v>228</v>
      </c>
      <c r="D335" s="8" t="s">
        <v>199</v>
      </c>
      <c r="E335" s="8">
        <v>9.0</v>
      </c>
      <c r="F335" s="8" t="s">
        <v>49</v>
      </c>
      <c r="G335" s="12"/>
      <c r="H335" s="10">
        <v>0.0</v>
      </c>
      <c r="I335" s="8" t="s">
        <v>56</v>
      </c>
    </row>
    <row r="336">
      <c r="A336" s="8" t="s">
        <v>150</v>
      </c>
      <c r="B336" s="10">
        <v>6500.0</v>
      </c>
      <c r="C336" s="8" t="s">
        <v>199</v>
      </c>
      <c r="D336" s="8" t="s">
        <v>202</v>
      </c>
      <c r="E336" s="8" t="s">
        <v>40</v>
      </c>
      <c r="F336" s="8" t="s">
        <v>29</v>
      </c>
      <c r="G336" s="12"/>
      <c r="H336" s="10">
        <v>0.0</v>
      </c>
      <c r="I336" s="14"/>
    </row>
    <row r="337">
      <c r="A337" s="8" t="s">
        <v>150</v>
      </c>
      <c r="B337" s="10">
        <v>6500.0</v>
      </c>
      <c r="C337" s="8" t="s">
        <v>202</v>
      </c>
      <c r="D337" s="8" t="s">
        <v>52</v>
      </c>
      <c r="E337" s="8" t="s">
        <v>209</v>
      </c>
      <c r="F337" s="8" t="s">
        <v>49</v>
      </c>
      <c r="G337" s="12"/>
      <c r="H337" s="10">
        <v>0.0</v>
      </c>
      <c r="I337" s="8" t="s">
        <v>56</v>
      </c>
    </row>
    <row r="338">
      <c r="A338" s="8" t="s">
        <v>150</v>
      </c>
      <c r="B338" s="10">
        <v>6500.0</v>
      </c>
      <c r="C338" s="8" t="s">
        <v>52</v>
      </c>
      <c r="D338" s="8" t="s">
        <v>53</v>
      </c>
      <c r="E338" s="8">
        <v>1.0</v>
      </c>
      <c r="F338" s="8" t="s">
        <v>49</v>
      </c>
      <c r="G338" s="14"/>
      <c r="H338" s="10">
        <v>0.0</v>
      </c>
      <c r="I338" s="8" t="s">
        <v>56</v>
      </c>
    </row>
    <row r="339">
      <c r="A339" s="8" t="s">
        <v>150</v>
      </c>
      <c r="B339" s="10">
        <v>6500.0</v>
      </c>
      <c r="C339" s="8" t="s">
        <v>53</v>
      </c>
      <c r="D339" s="8" t="s">
        <v>53</v>
      </c>
      <c r="E339" s="8" t="s">
        <v>57</v>
      </c>
      <c r="F339" s="8" t="s">
        <v>29</v>
      </c>
      <c r="G339" s="12"/>
      <c r="H339" s="10">
        <v>0.0</v>
      </c>
      <c r="I339" s="14"/>
    </row>
    <row r="340">
      <c r="A340" s="8" t="s">
        <v>153</v>
      </c>
      <c r="B340" s="10">
        <v>6500.0</v>
      </c>
      <c r="C340" s="8" t="s">
        <v>25</v>
      </c>
      <c r="D340" s="8" t="s">
        <v>26</v>
      </c>
      <c r="E340" s="8" t="s">
        <v>27</v>
      </c>
      <c r="F340" s="8" t="s">
        <v>29</v>
      </c>
      <c r="G340" s="12"/>
      <c r="H340" s="10">
        <v>0.0</v>
      </c>
      <c r="I340" s="12"/>
    </row>
    <row r="341">
      <c r="A341" s="8" t="s">
        <v>153</v>
      </c>
      <c r="B341" s="10">
        <v>6500.0</v>
      </c>
      <c r="C341" s="8" t="s">
        <v>26</v>
      </c>
      <c r="D341" s="8" t="s">
        <v>223</v>
      </c>
      <c r="E341" s="8" t="s">
        <v>37</v>
      </c>
      <c r="F341" s="8" t="s">
        <v>38</v>
      </c>
      <c r="G341" s="10">
        <v>3693.0</v>
      </c>
      <c r="H341" s="10">
        <v>3000.0</v>
      </c>
      <c r="I341" s="14"/>
    </row>
    <row r="342">
      <c r="A342" s="8" t="s">
        <v>153</v>
      </c>
      <c r="B342" s="10">
        <v>6500.0</v>
      </c>
      <c r="C342" s="8" t="s">
        <v>223</v>
      </c>
      <c r="D342" s="8" t="s">
        <v>224</v>
      </c>
      <c r="E342" s="8" t="s">
        <v>225</v>
      </c>
      <c r="F342" s="8" t="s">
        <v>49</v>
      </c>
      <c r="G342" s="14"/>
      <c r="H342" s="10">
        <v>3500.0</v>
      </c>
      <c r="I342" s="8" t="s">
        <v>51</v>
      </c>
    </row>
    <row r="343">
      <c r="A343" s="8" t="s">
        <v>153</v>
      </c>
      <c r="B343" s="10">
        <v>6500.0</v>
      </c>
      <c r="C343" s="8" t="s">
        <v>224</v>
      </c>
      <c r="D343" s="8" t="s">
        <v>228</v>
      </c>
      <c r="E343" s="8" t="s">
        <v>40</v>
      </c>
      <c r="F343" s="8" t="s">
        <v>29</v>
      </c>
      <c r="G343" s="12"/>
      <c r="H343" s="10">
        <v>0.0</v>
      </c>
      <c r="I343" s="12"/>
    </row>
    <row r="344">
      <c r="A344" s="8" t="s">
        <v>153</v>
      </c>
      <c r="B344" s="10">
        <v>6500.0</v>
      </c>
      <c r="C344" s="8" t="s">
        <v>228</v>
      </c>
      <c r="D344" s="8" t="s">
        <v>199</v>
      </c>
      <c r="E344" s="8">
        <v>9.0</v>
      </c>
      <c r="F344" s="8" t="s">
        <v>49</v>
      </c>
      <c r="G344" s="12"/>
      <c r="H344" s="10">
        <v>0.0</v>
      </c>
      <c r="I344" s="8" t="s">
        <v>56</v>
      </c>
    </row>
    <row r="345">
      <c r="A345" s="8" t="s">
        <v>153</v>
      </c>
      <c r="B345" s="10">
        <v>6500.0</v>
      </c>
      <c r="C345" s="8" t="s">
        <v>199</v>
      </c>
      <c r="D345" s="8" t="s">
        <v>202</v>
      </c>
      <c r="E345" s="8" t="s">
        <v>40</v>
      </c>
      <c r="F345" s="8" t="s">
        <v>29</v>
      </c>
      <c r="G345" s="12"/>
      <c r="H345" s="10">
        <v>0.0</v>
      </c>
      <c r="I345" s="12"/>
    </row>
    <row r="346">
      <c r="A346" s="8" t="s">
        <v>153</v>
      </c>
      <c r="B346" s="10">
        <v>6500.0</v>
      </c>
      <c r="C346" s="8" t="s">
        <v>202</v>
      </c>
      <c r="D346" s="8" t="s">
        <v>115</v>
      </c>
      <c r="E346" s="8" t="s">
        <v>207</v>
      </c>
      <c r="F346" s="8" t="s">
        <v>49</v>
      </c>
      <c r="G346" s="12"/>
      <c r="H346" s="10">
        <v>0.0</v>
      </c>
      <c r="I346" s="8" t="s">
        <v>56</v>
      </c>
    </row>
    <row r="347">
      <c r="A347" s="8" t="s">
        <v>153</v>
      </c>
      <c r="B347" s="10">
        <v>6500.0</v>
      </c>
      <c r="C347" s="8" t="s">
        <v>115</v>
      </c>
      <c r="D347" s="8" t="s">
        <v>53</v>
      </c>
      <c r="E347" s="8" t="s">
        <v>57</v>
      </c>
      <c r="F347" s="8" t="s">
        <v>29</v>
      </c>
      <c r="G347" s="12"/>
      <c r="H347" s="10">
        <v>0.0</v>
      </c>
      <c r="I347" s="14"/>
    </row>
    <row r="348">
      <c r="A348" s="8" t="s">
        <v>156</v>
      </c>
      <c r="B348" s="10">
        <v>6500.0</v>
      </c>
      <c r="C348" s="8" t="s">
        <v>25</v>
      </c>
      <c r="D348" s="8" t="s">
        <v>26</v>
      </c>
      <c r="E348" s="8" t="s">
        <v>27</v>
      </c>
      <c r="F348" s="8" t="s">
        <v>29</v>
      </c>
      <c r="G348" s="12"/>
      <c r="H348" s="10">
        <v>0.0</v>
      </c>
      <c r="I348" s="12"/>
    </row>
    <row r="349">
      <c r="A349" s="8" t="s">
        <v>156</v>
      </c>
      <c r="B349" s="10">
        <v>6500.0</v>
      </c>
      <c r="C349" s="8" t="s">
        <v>26</v>
      </c>
      <c r="D349" s="8" t="s">
        <v>223</v>
      </c>
      <c r="E349" s="8" t="s">
        <v>37</v>
      </c>
      <c r="F349" s="8" t="s">
        <v>38</v>
      </c>
      <c r="G349" s="10">
        <v>3693.0</v>
      </c>
      <c r="H349" s="10">
        <v>3000.0</v>
      </c>
      <c r="I349" s="12"/>
    </row>
    <row r="350">
      <c r="A350" s="8" t="s">
        <v>156</v>
      </c>
      <c r="B350" s="10">
        <v>6500.0</v>
      </c>
      <c r="C350" s="8" t="s">
        <v>223</v>
      </c>
      <c r="D350" s="8" t="s">
        <v>224</v>
      </c>
      <c r="E350" s="8" t="s">
        <v>225</v>
      </c>
      <c r="F350" s="8" t="s">
        <v>49</v>
      </c>
      <c r="G350" s="12"/>
      <c r="H350" s="10">
        <v>3500.0</v>
      </c>
      <c r="I350" s="8" t="s">
        <v>51</v>
      </c>
    </row>
    <row r="351">
      <c r="A351" s="8" t="s">
        <v>156</v>
      </c>
      <c r="B351" s="10">
        <v>6500.0</v>
      </c>
      <c r="C351" s="8" t="s">
        <v>224</v>
      </c>
      <c r="D351" s="8" t="s">
        <v>228</v>
      </c>
      <c r="E351" s="8" t="s">
        <v>40</v>
      </c>
      <c r="F351" s="8" t="s">
        <v>29</v>
      </c>
      <c r="G351" s="12"/>
      <c r="H351" s="10">
        <v>0.0</v>
      </c>
      <c r="I351" s="14"/>
    </row>
    <row r="352">
      <c r="A352" s="8" t="s">
        <v>156</v>
      </c>
      <c r="B352" s="10">
        <v>6500.0</v>
      </c>
      <c r="C352" s="8" t="s">
        <v>228</v>
      </c>
      <c r="D352" s="8" t="s">
        <v>210</v>
      </c>
      <c r="E352" s="8" t="s">
        <v>211</v>
      </c>
      <c r="F352" s="8" t="s">
        <v>49</v>
      </c>
      <c r="G352" s="12"/>
      <c r="H352" s="10">
        <v>0.0</v>
      </c>
      <c r="I352" s="8" t="s">
        <v>56</v>
      </c>
    </row>
    <row r="353">
      <c r="A353" s="8" t="s">
        <v>156</v>
      </c>
      <c r="B353" s="10">
        <v>6500.0</v>
      </c>
      <c r="C353" s="8" t="s">
        <v>210</v>
      </c>
      <c r="D353" s="8" t="s">
        <v>53</v>
      </c>
      <c r="E353" s="8">
        <v>1.0</v>
      </c>
      <c r="F353" s="8" t="s">
        <v>49</v>
      </c>
      <c r="G353" s="12"/>
      <c r="H353" s="10">
        <v>0.0</v>
      </c>
      <c r="I353" s="8" t="s">
        <v>56</v>
      </c>
    </row>
    <row r="354">
      <c r="A354" s="8" t="s">
        <v>156</v>
      </c>
      <c r="B354" s="10">
        <v>6500.0</v>
      </c>
      <c r="C354" s="8" t="s">
        <v>53</v>
      </c>
      <c r="D354" s="8" t="s">
        <v>53</v>
      </c>
      <c r="E354" s="8" t="s">
        <v>57</v>
      </c>
      <c r="F354" s="8" t="s">
        <v>29</v>
      </c>
      <c r="G354" s="14"/>
      <c r="H354" s="10">
        <v>0.0</v>
      </c>
      <c r="I354" s="12"/>
    </row>
    <row r="355">
      <c r="A355" s="8" t="s">
        <v>158</v>
      </c>
      <c r="B355" s="10">
        <v>6500.0</v>
      </c>
      <c r="C355" s="8" t="s">
        <v>25</v>
      </c>
      <c r="D355" s="8" t="s">
        <v>26</v>
      </c>
      <c r="E355" s="8" t="s">
        <v>27</v>
      </c>
      <c r="F355" s="8" t="s">
        <v>29</v>
      </c>
      <c r="G355" s="12"/>
      <c r="H355" s="10">
        <v>0.0</v>
      </c>
      <c r="I355" s="12"/>
    </row>
    <row r="356">
      <c r="A356" s="8" t="s">
        <v>158</v>
      </c>
      <c r="B356" s="10">
        <v>6500.0</v>
      </c>
      <c r="C356" s="8" t="s">
        <v>26</v>
      </c>
      <c r="D356" s="8" t="s">
        <v>223</v>
      </c>
      <c r="E356" s="8" t="s">
        <v>37</v>
      </c>
      <c r="F356" s="8" t="s">
        <v>38</v>
      </c>
      <c r="G356" s="10">
        <v>3693.0</v>
      </c>
      <c r="H356" s="10">
        <v>3000.0</v>
      </c>
      <c r="I356" s="12"/>
    </row>
    <row r="357">
      <c r="A357" s="8" t="s">
        <v>158</v>
      </c>
      <c r="B357" s="10">
        <v>6500.0</v>
      </c>
      <c r="C357" s="8" t="s">
        <v>223</v>
      </c>
      <c r="D357" s="8" t="s">
        <v>224</v>
      </c>
      <c r="E357" s="8" t="s">
        <v>225</v>
      </c>
      <c r="F357" s="8" t="s">
        <v>49</v>
      </c>
      <c r="G357" s="12"/>
      <c r="H357" s="10">
        <v>3500.0</v>
      </c>
      <c r="I357" s="8" t="s">
        <v>51</v>
      </c>
    </row>
    <row r="358">
      <c r="A358" s="8" t="s">
        <v>158</v>
      </c>
      <c r="B358" s="10">
        <v>6500.0</v>
      </c>
      <c r="C358" s="8" t="s">
        <v>224</v>
      </c>
      <c r="D358" s="8" t="s">
        <v>228</v>
      </c>
      <c r="E358" s="8" t="s">
        <v>40</v>
      </c>
      <c r="F358" s="8" t="s">
        <v>29</v>
      </c>
      <c r="G358" s="12"/>
      <c r="H358" s="10">
        <v>0.0</v>
      </c>
      <c r="I358" s="12"/>
    </row>
    <row r="359">
      <c r="A359" s="8" t="s">
        <v>158</v>
      </c>
      <c r="B359" s="10">
        <v>6500.0</v>
      </c>
      <c r="C359" s="8" t="s">
        <v>228</v>
      </c>
      <c r="D359" s="8" t="s">
        <v>215</v>
      </c>
      <c r="E359" s="8" t="s">
        <v>211</v>
      </c>
      <c r="F359" s="8" t="s">
        <v>49</v>
      </c>
      <c r="G359" s="12"/>
      <c r="H359" s="10">
        <v>0.0</v>
      </c>
      <c r="I359" s="8" t="s">
        <v>56</v>
      </c>
    </row>
    <row r="360">
      <c r="A360" s="8" t="s">
        <v>158</v>
      </c>
      <c r="B360" s="10">
        <v>6500.0</v>
      </c>
      <c r="C360" s="8" t="s">
        <v>215</v>
      </c>
      <c r="D360" s="8" t="s">
        <v>53</v>
      </c>
      <c r="E360" s="8">
        <v>1.0</v>
      </c>
      <c r="F360" s="8" t="s">
        <v>49</v>
      </c>
      <c r="G360" s="14"/>
      <c r="H360" s="10">
        <v>0.0</v>
      </c>
      <c r="I360" s="8" t="s">
        <v>56</v>
      </c>
    </row>
    <row r="361">
      <c r="A361" s="8" t="s">
        <v>158</v>
      </c>
      <c r="B361" s="10">
        <v>6500.0</v>
      </c>
      <c r="C361" s="8" t="s">
        <v>53</v>
      </c>
      <c r="D361" s="8" t="s">
        <v>53</v>
      </c>
      <c r="E361" s="8" t="s">
        <v>57</v>
      </c>
      <c r="F361" s="8" t="s">
        <v>29</v>
      </c>
      <c r="G361" s="12"/>
      <c r="H361" s="10">
        <v>0.0</v>
      </c>
      <c r="I361" s="12"/>
    </row>
    <row r="362">
      <c r="A362" s="8" t="s">
        <v>160</v>
      </c>
      <c r="B362" s="10">
        <v>6500.0</v>
      </c>
      <c r="C362" s="8" t="s">
        <v>25</v>
      </c>
      <c r="D362" s="8" t="s">
        <v>26</v>
      </c>
      <c r="E362" s="8" t="s">
        <v>27</v>
      </c>
      <c r="F362" s="8" t="s">
        <v>29</v>
      </c>
      <c r="G362" s="12"/>
      <c r="H362" s="10">
        <v>0.0</v>
      </c>
      <c r="I362" s="14"/>
    </row>
    <row r="363">
      <c r="A363" s="8" t="s">
        <v>160</v>
      </c>
      <c r="B363" s="10">
        <v>6500.0</v>
      </c>
      <c r="C363" s="8" t="s">
        <v>26</v>
      </c>
      <c r="D363" s="8" t="s">
        <v>223</v>
      </c>
      <c r="E363" s="8" t="s">
        <v>37</v>
      </c>
      <c r="F363" s="8" t="s">
        <v>38</v>
      </c>
      <c r="G363" s="10">
        <v>3693.0</v>
      </c>
      <c r="H363" s="10">
        <v>3000.0</v>
      </c>
      <c r="I363" s="14"/>
    </row>
    <row r="364">
      <c r="A364" s="8" t="s">
        <v>160</v>
      </c>
      <c r="B364" s="10">
        <v>6500.0</v>
      </c>
      <c r="C364" s="8" t="s">
        <v>223</v>
      </c>
      <c r="D364" s="8" t="s">
        <v>224</v>
      </c>
      <c r="E364" s="8" t="s">
        <v>225</v>
      </c>
      <c r="F364" s="8" t="s">
        <v>49</v>
      </c>
      <c r="G364" s="12"/>
      <c r="H364" s="10">
        <v>3500.0</v>
      </c>
      <c r="I364" s="8" t="s">
        <v>51</v>
      </c>
    </row>
    <row r="365">
      <c r="A365" s="8" t="s">
        <v>160</v>
      </c>
      <c r="B365" s="10">
        <v>6500.0</v>
      </c>
      <c r="C365" s="8" t="s">
        <v>224</v>
      </c>
      <c r="D365" s="8" t="s">
        <v>228</v>
      </c>
      <c r="E365" s="8" t="s">
        <v>40</v>
      </c>
      <c r="F365" s="8" t="s">
        <v>29</v>
      </c>
      <c r="G365" s="14"/>
      <c r="H365" s="10">
        <v>0.0</v>
      </c>
      <c r="I365" s="12"/>
    </row>
    <row r="366">
      <c r="A366" s="8" t="s">
        <v>160</v>
      </c>
      <c r="B366" s="10">
        <v>6500.0</v>
      </c>
      <c r="C366" s="8" t="s">
        <v>228</v>
      </c>
      <c r="D366" s="8" t="s">
        <v>183</v>
      </c>
      <c r="E366" s="8">
        <v>9.0</v>
      </c>
      <c r="F366" s="8" t="s">
        <v>49</v>
      </c>
      <c r="G366" s="12"/>
      <c r="H366" s="10">
        <v>0.0</v>
      </c>
      <c r="I366" s="8" t="s">
        <v>56</v>
      </c>
    </row>
    <row r="367">
      <c r="A367" s="8" t="s">
        <v>160</v>
      </c>
      <c r="B367" s="10">
        <v>6500.0</v>
      </c>
      <c r="C367" s="8" t="s">
        <v>183</v>
      </c>
      <c r="D367" s="8" t="s">
        <v>52</v>
      </c>
      <c r="E367" s="8" t="s">
        <v>208</v>
      </c>
      <c r="F367" s="8" t="s">
        <v>49</v>
      </c>
      <c r="G367" s="12"/>
      <c r="H367" s="10">
        <v>0.0</v>
      </c>
      <c r="I367" s="8" t="s">
        <v>56</v>
      </c>
    </row>
    <row r="368">
      <c r="A368" s="8" t="s">
        <v>160</v>
      </c>
      <c r="B368" s="10">
        <v>6500.0</v>
      </c>
      <c r="C368" s="8" t="s">
        <v>52</v>
      </c>
      <c r="D368" s="8" t="s">
        <v>53</v>
      </c>
      <c r="E368" s="8">
        <v>1.0</v>
      </c>
      <c r="F368" s="8" t="s">
        <v>49</v>
      </c>
      <c r="G368" s="12"/>
      <c r="H368" s="10">
        <v>0.0</v>
      </c>
      <c r="I368" s="8" t="s">
        <v>56</v>
      </c>
    </row>
    <row r="369">
      <c r="A369" s="8" t="s">
        <v>160</v>
      </c>
      <c r="B369" s="10">
        <v>6500.0</v>
      </c>
      <c r="C369" s="8" t="s">
        <v>53</v>
      </c>
      <c r="D369" s="8" t="s">
        <v>53</v>
      </c>
      <c r="E369" s="8" t="s">
        <v>57</v>
      </c>
      <c r="F369" s="8" t="s">
        <v>29</v>
      </c>
      <c r="G369" s="14"/>
      <c r="H369" s="10">
        <v>0.0</v>
      </c>
      <c r="I369" s="12"/>
    </row>
    <row r="370">
      <c r="A370" s="8" t="s">
        <v>162</v>
      </c>
      <c r="B370" s="10">
        <v>6500.0</v>
      </c>
      <c r="C370" s="8" t="s">
        <v>25</v>
      </c>
      <c r="D370" s="8" t="s">
        <v>26</v>
      </c>
      <c r="E370" s="8" t="s">
        <v>27</v>
      </c>
      <c r="F370" s="8" t="s">
        <v>29</v>
      </c>
      <c r="G370" s="12"/>
      <c r="H370" s="10">
        <v>0.0</v>
      </c>
      <c r="I370" s="12"/>
    </row>
    <row r="371">
      <c r="A371" s="8" t="s">
        <v>162</v>
      </c>
      <c r="B371" s="10">
        <v>6500.0</v>
      </c>
      <c r="C371" s="8" t="s">
        <v>26</v>
      </c>
      <c r="D371" s="8" t="s">
        <v>223</v>
      </c>
      <c r="E371" s="8" t="s">
        <v>37</v>
      </c>
      <c r="F371" s="8" t="s">
        <v>38</v>
      </c>
      <c r="G371" s="10">
        <v>3693.0</v>
      </c>
      <c r="H371" s="10">
        <v>3000.0</v>
      </c>
      <c r="I371" s="14"/>
    </row>
    <row r="372">
      <c r="A372" s="8" t="s">
        <v>162</v>
      </c>
      <c r="B372" s="10">
        <v>6500.0</v>
      </c>
      <c r="C372" s="8" t="s">
        <v>223</v>
      </c>
      <c r="D372" s="8" t="s">
        <v>224</v>
      </c>
      <c r="E372" s="8" t="s">
        <v>225</v>
      </c>
      <c r="F372" s="8" t="s">
        <v>49</v>
      </c>
      <c r="G372" s="12"/>
      <c r="H372" s="10">
        <v>3500.0</v>
      </c>
      <c r="I372" s="8" t="s">
        <v>51</v>
      </c>
    </row>
    <row r="373">
      <c r="A373" s="8" t="s">
        <v>162</v>
      </c>
      <c r="B373" s="10">
        <v>6500.0</v>
      </c>
      <c r="C373" s="8" t="s">
        <v>224</v>
      </c>
      <c r="D373" s="8" t="s">
        <v>228</v>
      </c>
      <c r="E373" s="8" t="s">
        <v>40</v>
      </c>
      <c r="F373" s="8" t="s">
        <v>29</v>
      </c>
      <c r="G373" s="12"/>
      <c r="H373" s="10">
        <v>0.0</v>
      </c>
      <c r="I373" s="14"/>
    </row>
    <row r="374">
      <c r="A374" s="8" t="s">
        <v>162</v>
      </c>
      <c r="B374" s="10">
        <v>6500.0</v>
      </c>
      <c r="C374" s="8" t="s">
        <v>228</v>
      </c>
      <c r="D374" s="8" t="s">
        <v>216</v>
      </c>
      <c r="E374" s="8">
        <v>9.0</v>
      </c>
      <c r="F374" s="8" t="s">
        <v>49</v>
      </c>
      <c r="G374" s="12"/>
      <c r="H374" s="10">
        <v>0.0</v>
      </c>
      <c r="I374" s="8" t="s">
        <v>56</v>
      </c>
    </row>
    <row r="375">
      <c r="A375" s="8" t="s">
        <v>162</v>
      </c>
      <c r="B375" s="10">
        <v>6500.0</v>
      </c>
      <c r="C375" s="8" t="s">
        <v>216</v>
      </c>
      <c r="D375" s="8" t="s">
        <v>217</v>
      </c>
      <c r="E375" s="8" t="s">
        <v>40</v>
      </c>
      <c r="F375" s="8" t="s">
        <v>29</v>
      </c>
      <c r="G375" s="12"/>
      <c r="H375" s="10">
        <v>0.0</v>
      </c>
      <c r="I375" s="12"/>
    </row>
    <row r="376">
      <c r="A376" s="8" t="s">
        <v>162</v>
      </c>
      <c r="B376" s="10">
        <v>6500.0</v>
      </c>
      <c r="C376" s="8" t="s">
        <v>217</v>
      </c>
      <c r="D376" s="8" t="s">
        <v>218</v>
      </c>
      <c r="E376" s="8" t="s">
        <v>219</v>
      </c>
      <c r="F376" s="8" t="s">
        <v>49</v>
      </c>
      <c r="G376" s="14"/>
      <c r="H376" s="10">
        <v>0.0</v>
      </c>
      <c r="I376" s="8" t="s">
        <v>56</v>
      </c>
    </row>
    <row r="377">
      <c r="A377" s="8" t="s">
        <v>162</v>
      </c>
      <c r="B377" s="10">
        <v>6500.0</v>
      </c>
      <c r="C377" s="8" t="s">
        <v>218</v>
      </c>
      <c r="D377" s="8" t="s">
        <v>53</v>
      </c>
      <c r="E377" s="8" t="s">
        <v>57</v>
      </c>
      <c r="F377" s="8" t="s">
        <v>29</v>
      </c>
      <c r="G377" s="12"/>
      <c r="H377" s="10">
        <v>0.0</v>
      </c>
      <c r="I377" s="14"/>
    </row>
    <row r="378">
      <c r="A378" s="8" t="s">
        <v>167</v>
      </c>
      <c r="B378" s="10">
        <v>15700.0</v>
      </c>
      <c r="C378" s="8" t="s">
        <v>25</v>
      </c>
      <c r="D378" s="8" t="s">
        <v>26</v>
      </c>
      <c r="E378" s="8" t="s">
        <v>27</v>
      </c>
      <c r="F378" s="8" t="s">
        <v>29</v>
      </c>
      <c r="G378" s="12"/>
      <c r="H378" s="10">
        <v>0.0</v>
      </c>
      <c r="I378" s="12"/>
    </row>
    <row r="379">
      <c r="A379" s="8" t="s">
        <v>167</v>
      </c>
      <c r="B379" s="10">
        <v>15700.0</v>
      </c>
      <c r="C379" s="8" t="s">
        <v>26</v>
      </c>
      <c r="D379" s="8" t="s">
        <v>223</v>
      </c>
      <c r="E379" s="8" t="s">
        <v>37</v>
      </c>
      <c r="F379" s="8" t="s">
        <v>38</v>
      </c>
      <c r="G379" s="10">
        <v>3693.0</v>
      </c>
      <c r="H379" s="10">
        <v>3000.0</v>
      </c>
      <c r="I379" s="14"/>
    </row>
    <row r="380">
      <c r="A380" s="8" t="s">
        <v>167</v>
      </c>
      <c r="B380" s="10">
        <v>15700.0</v>
      </c>
      <c r="C380" s="8" t="s">
        <v>223</v>
      </c>
      <c r="D380" s="8" t="s">
        <v>224</v>
      </c>
      <c r="E380" s="8" t="s">
        <v>225</v>
      </c>
      <c r="F380" s="8" t="s">
        <v>49</v>
      </c>
      <c r="G380" s="14"/>
      <c r="H380" s="10">
        <v>3500.0</v>
      </c>
      <c r="I380" s="8" t="s">
        <v>51</v>
      </c>
    </row>
    <row r="381">
      <c r="A381" s="8" t="s">
        <v>167</v>
      </c>
      <c r="B381" s="10">
        <v>15700.0</v>
      </c>
      <c r="C381" s="8" t="s">
        <v>224</v>
      </c>
      <c r="D381" s="8" t="s">
        <v>228</v>
      </c>
      <c r="E381" s="8" t="s">
        <v>40</v>
      </c>
      <c r="F381" s="8" t="s">
        <v>29</v>
      </c>
      <c r="G381" s="12"/>
      <c r="H381" s="10">
        <v>0.0</v>
      </c>
      <c r="I381" s="12"/>
    </row>
    <row r="382">
      <c r="A382" s="8" t="s">
        <v>167</v>
      </c>
      <c r="B382" s="10">
        <v>15700.0</v>
      </c>
      <c r="C382" s="8" t="s">
        <v>228</v>
      </c>
      <c r="D382" s="8" t="s">
        <v>39</v>
      </c>
      <c r="E382" s="8">
        <v>9.0</v>
      </c>
      <c r="F382" s="8" t="s">
        <v>49</v>
      </c>
      <c r="G382" s="12"/>
      <c r="H382" s="10">
        <v>0.0</v>
      </c>
      <c r="I382" s="8" t="s">
        <v>56</v>
      </c>
    </row>
    <row r="383">
      <c r="A383" s="8" t="s">
        <v>167</v>
      </c>
      <c r="B383" s="10">
        <v>15700.0</v>
      </c>
      <c r="C383" s="8" t="s">
        <v>39</v>
      </c>
      <c r="D383" s="8" t="s">
        <v>221</v>
      </c>
      <c r="E383" s="8" t="s">
        <v>44</v>
      </c>
      <c r="F383" s="8" t="s">
        <v>45</v>
      </c>
      <c r="G383" s="10">
        <v>1473.0</v>
      </c>
      <c r="H383" s="10">
        <v>5700.0</v>
      </c>
      <c r="I383" s="12"/>
    </row>
    <row r="384">
      <c r="A384" s="8" t="s">
        <v>167</v>
      </c>
      <c r="B384" s="10">
        <v>15700.0</v>
      </c>
      <c r="C384" s="8" t="s">
        <v>221</v>
      </c>
      <c r="D384" s="8" t="s">
        <v>186</v>
      </c>
      <c r="E384" s="8" t="s">
        <v>40</v>
      </c>
      <c r="F384" s="8" t="s">
        <v>29</v>
      </c>
      <c r="G384" s="12"/>
      <c r="H384" s="10">
        <v>0.0</v>
      </c>
      <c r="I384" s="14"/>
    </row>
    <row r="385">
      <c r="A385" s="8" t="s">
        <v>167</v>
      </c>
      <c r="B385" s="10">
        <v>15700.0</v>
      </c>
      <c r="C385" s="8" t="s">
        <v>186</v>
      </c>
      <c r="D385" s="8" t="s">
        <v>189</v>
      </c>
      <c r="E385" s="8" t="s">
        <v>190</v>
      </c>
      <c r="F385" s="8" t="s">
        <v>49</v>
      </c>
      <c r="G385" s="12"/>
      <c r="H385" s="10">
        <v>3500.0</v>
      </c>
      <c r="I385" s="8" t="s">
        <v>51</v>
      </c>
    </row>
    <row r="386">
      <c r="A386" s="8" t="s">
        <v>167</v>
      </c>
      <c r="B386" s="10">
        <v>15700.0</v>
      </c>
      <c r="C386" s="8" t="s">
        <v>189</v>
      </c>
      <c r="D386" s="8" t="s">
        <v>52</v>
      </c>
      <c r="E386" s="8" t="s">
        <v>40</v>
      </c>
      <c r="F386" s="8" t="s">
        <v>29</v>
      </c>
      <c r="G386" s="14"/>
      <c r="H386" s="10">
        <v>0.0</v>
      </c>
      <c r="I386" s="12"/>
    </row>
    <row r="387">
      <c r="A387" s="8" t="s">
        <v>167</v>
      </c>
      <c r="B387" s="10">
        <v>15700.0</v>
      </c>
      <c r="C387" s="8" t="s">
        <v>52</v>
      </c>
      <c r="D387" s="8" t="s">
        <v>53</v>
      </c>
      <c r="E387" s="8">
        <v>1.0</v>
      </c>
      <c r="F387" s="8" t="s">
        <v>49</v>
      </c>
      <c r="G387" s="12"/>
      <c r="H387" s="10">
        <v>0.0</v>
      </c>
      <c r="I387" s="8" t="s">
        <v>56</v>
      </c>
    </row>
    <row r="388">
      <c r="A388" s="8" t="s">
        <v>167</v>
      </c>
      <c r="B388" s="10">
        <v>15700.0</v>
      </c>
      <c r="C388" s="8" t="s">
        <v>53</v>
      </c>
      <c r="D388" s="8" t="s">
        <v>53</v>
      </c>
      <c r="E388" s="8" t="s">
        <v>57</v>
      </c>
      <c r="F388" s="8" t="s">
        <v>29</v>
      </c>
      <c r="G388" s="12"/>
      <c r="H388" s="10">
        <v>0.0</v>
      </c>
      <c r="I388" s="12"/>
    </row>
    <row r="389">
      <c r="A389" s="8" t="s">
        <v>169</v>
      </c>
      <c r="B389" s="10">
        <v>15700.0</v>
      </c>
      <c r="C389" s="8" t="s">
        <v>25</v>
      </c>
      <c r="D389" s="8" t="s">
        <v>26</v>
      </c>
      <c r="E389" s="8" t="s">
        <v>27</v>
      </c>
      <c r="F389" s="8" t="s">
        <v>29</v>
      </c>
      <c r="G389" s="12"/>
      <c r="H389" s="10">
        <v>0.0</v>
      </c>
      <c r="I389" s="14"/>
    </row>
    <row r="390">
      <c r="A390" s="8" t="s">
        <v>169</v>
      </c>
      <c r="B390" s="10">
        <v>15700.0</v>
      </c>
      <c r="C390" s="8" t="s">
        <v>26</v>
      </c>
      <c r="D390" s="8" t="s">
        <v>223</v>
      </c>
      <c r="E390" s="8" t="s">
        <v>37</v>
      </c>
      <c r="F390" s="8" t="s">
        <v>38</v>
      </c>
      <c r="G390" s="10">
        <v>3693.0</v>
      </c>
      <c r="H390" s="10">
        <v>3000.0</v>
      </c>
      <c r="I390" s="12"/>
    </row>
    <row r="391">
      <c r="A391" s="8" t="s">
        <v>169</v>
      </c>
      <c r="B391" s="10">
        <v>15700.0</v>
      </c>
      <c r="C391" s="8" t="s">
        <v>223</v>
      </c>
      <c r="D391" s="8" t="s">
        <v>224</v>
      </c>
      <c r="E391" s="8" t="s">
        <v>225</v>
      </c>
      <c r="F391" s="8" t="s">
        <v>49</v>
      </c>
      <c r="G391" s="12"/>
      <c r="H391" s="10">
        <v>3500.0</v>
      </c>
      <c r="I391" s="8" t="s">
        <v>51</v>
      </c>
    </row>
    <row r="392">
      <c r="A392" s="8" t="s">
        <v>169</v>
      </c>
      <c r="B392" s="10">
        <v>15700.0</v>
      </c>
      <c r="C392" s="8" t="s">
        <v>224</v>
      </c>
      <c r="D392" s="8" t="s">
        <v>228</v>
      </c>
      <c r="E392" s="8" t="s">
        <v>40</v>
      </c>
      <c r="F392" s="8" t="s">
        <v>29</v>
      </c>
      <c r="G392" s="12"/>
      <c r="H392" s="10">
        <v>0.0</v>
      </c>
      <c r="I392" s="14"/>
    </row>
    <row r="393">
      <c r="A393" s="8" t="s">
        <v>169</v>
      </c>
      <c r="B393" s="10">
        <v>15700.0</v>
      </c>
      <c r="C393" s="8" t="s">
        <v>228</v>
      </c>
      <c r="D393" s="8" t="s">
        <v>39</v>
      </c>
      <c r="E393" s="8">
        <v>9.0</v>
      </c>
      <c r="F393" s="8" t="s">
        <v>49</v>
      </c>
      <c r="G393" s="12"/>
      <c r="H393" s="10">
        <v>0.0</v>
      </c>
      <c r="I393" s="8" t="s">
        <v>56</v>
      </c>
    </row>
    <row r="394">
      <c r="A394" s="8" t="s">
        <v>169</v>
      </c>
      <c r="B394" s="10">
        <v>15700.0</v>
      </c>
      <c r="C394" s="8" t="s">
        <v>39</v>
      </c>
      <c r="D394" s="8" t="s">
        <v>221</v>
      </c>
      <c r="E394" s="8" t="s">
        <v>44</v>
      </c>
      <c r="F394" s="8" t="s">
        <v>45</v>
      </c>
      <c r="G394" s="10">
        <v>1473.0</v>
      </c>
      <c r="H394" s="10">
        <v>5700.0</v>
      </c>
      <c r="I394" s="14"/>
    </row>
    <row r="395">
      <c r="A395" s="8" t="s">
        <v>169</v>
      </c>
      <c r="B395" s="10">
        <v>15700.0</v>
      </c>
      <c r="C395" s="8" t="s">
        <v>221</v>
      </c>
      <c r="D395" s="8" t="s">
        <v>186</v>
      </c>
      <c r="E395" s="8" t="s">
        <v>40</v>
      </c>
      <c r="F395" s="8" t="s">
        <v>29</v>
      </c>
      <c r="G395" s="12"/>
      <c r="H395" s="10">
        <v>0.0</v>
      </c>
      <c r="I395" s="14"/>
    </row>
    <row r="396">
      <c r="A396" s="8" t="s">
        <v>169</v>
      </c>
      <c r="B396" s="10">
        <v>15700.0</v>
      </c>
      <c r="C396" s="8" t="s">
        <v>186</v>
      </c>
      <c r="D396" s="8" t="s">
        <v>203</v>
      </c>
      <c r="E396" s="8" t="s">
        <v>204</v>
      </c>
      <c r="F396" s="8" t="s">
        <v>49</v>
      </c>
      <c r="G396" s="14"/>
      <c r="H396" s="10">
        <v>3500.0</v>
      </c>
      <c r="I396" s="8" t="s">
        <v>51</v>
      </c>
    </row>
    <row r="397">
      <c r="A397" s="8" t="s">
        <v>169</v>
      </c>
      <c r="B397" s="10">
        <v>15700.0</v>
      </c>
      <c r="C397" s="8" t="s">
        <v>203</v>
      </c>
      <c r="D397" s="8" t="s">
        <v>202</v>
      </c>
      <c r="E397" s="8" t="s">
        <v>40</v>
      </c>
      <c r="F397" s="8" t="s">
        <v>29</v>
      </c>
      <c r="G397" s="12"/>
      <c r="H397" s="10">
        <v>0.0</v>
      </c>
      <c r="I397" s="12"/>
    </row>
    <row r="398">
      <c r="A398" s="8" t="s">
        <v>169</v>
      </c>
      <c r="B398" s="10">
        <v>15700.0</v>
      </c>
      <c r="C398" s="8" t="s">
        <v>202</v>
      </c>
      <c r="D398" s="8" t="s">
        <v>52</v>
      </c>
      <c r="E398" s="8" t="s">
        <v>209</v>
      </c>
      <c r="F398" s="8" t="s">
        <v>49</v>
      </c>
      <c r="G398" s="14"/>
      <c r="H398" s="10">
        <v>0.0</v>
      </c>
      <c r="I398" s="8" t="s">
        <v>56</v>
      </c>
    </row>
    <row r="399">
      <c r="A399" s="8" t="s">
        <v>169</v>
      </c>
      <c r="B399" s="10">
        <v>15700.0</v>
      </c>
      <c r="C399" s="8" t="s">
        <v>52</v>
      </c>
      <c r="D399" s="8" t="s">
        <v>53</v>
      </c>
      <c r="E399" s="8">
        <v>1.0</v>
      </c>
      <c r="F399" s="8" t="s">
        <v>49</v>
      </c>
      <c r="G399" s="12"/>
      <c r="H399" s="10">
        <v>0.0</v>
      </c>
      <c r="I399" s="8" t="s">
        <v>56</v>
      </c>
    </row>
    <row r="400">
      <c r="A400" s="8" t="s">
        <v>169</v>
      </c>
      <c r="B400" s="10">
        <v>15700.0</v>
      </c>
      <c r="C400" s="8" t="s">
        <v>53</v>
      </c>
      <c r="D400" s="8" t="s">
        <v>53</v>
      </c>
      <c r="E400" s="8" t="s">
        <v>57</v>
      </c>
      <c r="F400" s="8" t="s">
        <v>29</v>
      </c>
      <c r="G400" s="14"/>
      <c r="H400" s="10">
        <v>0.0</v>
      </c>
      <c r="I400" s="12"/>
    </row>
    <row r="401">
      <c r="A401" s="8" t="s">
        <v>171</v>
      </c>
      <c r="B401" s="10">
        <v>11500.0</v>
      </c>
      <c r="C401" s="8" t="s">
        <v>25</v>
      </c>
      <c r="D401" s="8" t="s">
        <v>26</v>
      </c>
      <c r="E401" s="8" t="s">
        <v>27</v>
      </c>
      <c r="F401" s="8" t="s">
        <v>29</v>
      </c>
      <c r="G401" s="12"/>
      <c r="H401" s="10">
        <v>0.0</v>
      </c>
      <c r="I401" s="12"/>
    </row>
    <row r="402">
      <c r="A402" s="8" t="s">
        <v>171</v>
      </c>
      <c r="B402" s="10">
        <v>11500.0</v>
      </c>
      <c r="C402" s="8" t="s">
        <v>26</v>
      </c>
      <c r="D402" s="8" t="s">
        <v>285</v>
      </c>
      <c r="E402" s="8" t="s">
        <v>37</v>
      </c>
      <c r="F402" s="8" t="s">
        <v>38</v>
      </c>
      <c r="G402" s="10">
        <v>8895.0</v>
      </c>
      <c r="H402" s="10">
        <v>3000.0</v>
      </c>
      <c r="I402" s="12"/>
    </row>
    <row r="403">
      <c r="A403" s="8" t="s">
        <v>171</v>
      </c>
      <c r="B403" s="10">
        <v>11500.0</v>
      </c>
      <c r="C403" s="8" t="s">
        <v>285</v>
      </c>
      <c r="D403" s="8" t="s">
        <v>286</v>
      </c>
      <c r="E403" s="8" t="s">
        <v>40</v>
      </c>
      <c r="F403" s="8" t="s">
        <v>29</v>
      </c>
      <c r="G403" s="12"/>
      <c r="H403" s="10">
        <v>0.0</v>
      </c>
      <c r="I403" s="14"/>
    </row>
    <row r="404">
      <c r="A404" s="8" t="s">
        <v>171</v>
      </c>
      <c r="B404" s="10">
        <v>11500.0</v>
      </c>
      <c r="C404" s="8" t="s">
        <v>286</v>
      </c>
      <c r="D404" s="8" t="s">
        <v>216</v>
      </c>
      <c r="E404" s="8" t="s">
        <v>204</v>
      </c>
      <c r="F404" s="8" t="s">
        <v>49</v>
      </c>
      <c r="G404" s="12"/>
      <c r="H404" s="10">
        <v>3500.0</v>
      </c>
      <c r="I404" s="8" t="s">
        <v>51</v>
      </c>
    </row>
    <row r="405">
      <c r="A405" s="8" t="s">
        <v>171</v>
      </c>
      <c r="B405" s="10">
        <v>11500.0</v>
      </c>
      <c r="C405" s="8" t="s">
        <v>216</v>
      </c>
      <c r="D405" s="8" t="s">
        <v>213</v>
      </c>
      <c r="E405" s="8">
        <v>9.0</v>
      </c>
      <c r="F405" s="8" t="s">
        <v>49</v>
      </c>
      <c r="G405" s="14"/>
      <c r="H405" s="10">
        <v>0.0</v>
      </c>
      <c r="I405" s="8" t="s">
        <v>56</v>
      </c>
    </row>
    <row r="406">
      <c r="A406" s="8" t="s">
        <v>171</v>
      </c>
      <c r="B406" s="10">
        <v>11500.0</v>
      </c>
      <c r="C406" s="8" t="s">
        <v>213</v>
      </c>
      <c r="D406" s="8" t="s">
        <v>214</v>
      </c>
      <c r="E406" s="8" t="s">
        <v>40</v>
      </c>
      <c r="F406" s="8" t="s">
        <v>29</v>
      </c>
      <c r="G406" s="12"/>
      <c r="H406" s="10">
        <v>0.0</v>
      </c>
      <c r="I406" s="12"/>
    </row>
    <row r="407">
      <c r="A407" s="8" t="s">
        <v>171</v>
      </c>
      <c r="B407" s="10">
        <v>11500.0</v>
      </c>
      <c r="C407" s="8" t="s">
        <v>214</v>
      </c>
      <c r="D407" s="8" t="s">
        <v>69</v>
      </c>
      <c r="E407" s="8" t="s">
        <v>71</v>
      </c>
      <c r="F407" s="8" t="s">
        <v>73</v>
      </c>
      <c r="G407" s="10">
        <v>4312.0</v>
      </c>
      <c r="H407" s="10">
        <v>5000.0</v>
      </c>
      <c r="I407" s="12"/>
    </row>
    <row r="408">
      <c r="A408" s="8" t="s">
        <v>171</v>
      </c>
      <c r="B408" s="10">
        <v>11500.0</v>
      </c>
      <c r="C408" s="8" t="s">
        <v>69</v>
      </c>
      <c r="D408" s="8" t="s">
        <v>53</v>
      </c>
      <c r="E408" s="8" t="s">
        <v>57</v>
      </c>
      <c r="F408" s="8" t="s">
        <v>29</v>
      </c>
      <c r="G408" s="12"/>
      <c r="H408" s="10">
        <v>0.0</v>
      </c>
      <c r="I408" s="12"/>
    </row>
    <row r="409">
      <c r="A409" s="8" t="s">
        <v>174</v>
      </c>
      <c r="B409" s="10">
        <v>15700.0</v>
      </c>
      <c r="C409" s="8" t="s">
        <v>25</v>
      </c>
      <c r="D409" s="8" t="s">
        <v>26</v>
      </c>
      <c r="E409" s="8" t="s">
        <v>27</v>
      </c>
      <c r="F409" s="8" t="s">
        <v>29</v>
      </c>
      <c r="G409" s="14"/>
      <c r="H409" s="10">
        <v>0.0</v>
      </c>
      <c r="I409" s="12"/>
    </row>
    <row r="410">
      <c r="A410" s="8" t="s">
        <v>174</v>
      </c>
      <c r="B410" s="10">
        <v>15700.0</v>
      </c>
      <c r="C410" s="8" t="s">
        <v>26</v>
      </c>
      <c r="D410" s="8" t="s">
        <v>223</v>
      </c>
      <c r="E410" s="8" t="s">
        <v>37</v>
      </c>
      <c r="F410" s="8" t="s">
        <v>38</v>
      </c>
      <c r="G410" s="10">
        <v>3693.0</v>
      </c>
      <c r="H410" s="10">
        <v>3000.0</v>
      </c>
      <c r="I410" s="14"/>
    </row>
    <row r="411">
      <c r="A411" s="8" t="s">
        <v>174</v>
      </c>
      <c r="B411" s="10">
        <v>15700.0</v>
      </c>
      <c r="C411" s="8" t="s">
        <v>223</v>
      </c>
      <c r="D411" s="8" t="s">
        <v>224</v>
      </c>
      <c r="E411" s="8" t="s">
        <v>225</v>
      </c>
      <c r="F411" s="8" t="s">
        <v>49</v>
      </c>
      <c r="G411" s="12"/>
      <c r="H411" s="10">
        <v>3500.0</v>
      </c>
      <c r="I411" s="8" t="s">
        <v>51</v>
      </c>
    </row>
    <row r="412">
      <c r="A412" s="8" t="s">
        <v>174</v>
      </c>
      <c r="B412" s="10">
        <v>15700.0</v>
      </c>
      <c r="C412" s="8" t="s">
        <v>224</v>
      </c>
      <c r="D412" s="8" t="s">
        <v>228</v>
      </c>
      <c r="E412" s="8" t="s">
        <v>40</v>
      </c>
      <c r="F412" s="8" t="s">
        <v>29</v>
      </c>
      <c r="G412" s="12"/>
      <c r="H412" s="10">
        <v>0.0</v>
      </c>
      <c r="I412" s="14"/>
    </row>
    <row r="413">
      <c r="A413" s="8" t="s">
        <v>174</v>
      </c>
      <c r="B413" s="10">
        <v>15700.0</v>
      </c>
      <c r="C413" s="8" t="s">
        <v>228</v>
      </c>
      <c r="D413" s="8" t="s">
        <v>39</v>
      </c>
      <c r="E413" s="8">
        <v>9.0</v>
      </c>
      <c r="F413" s="8" t="s">
        <v>49</v>
      </c>
      <c r="G413" s="12"/>
      <c r="H413" s="10">
        <v>0.0</v>
      </c>
      <c r="I413" s="8" t="s">
        <v>56</v>
      </c>
    </row>
    <row r="414">
      <c r="A414" s="8" t="s">
        <v>174</v>
      </c>
      <c r="B414" s="10">
        <v>15700.0</v>
      </c>
      <c r="C414" s="8" t="s">
        <v>39</v>
      </c>
      <c r="D414" s="8" t="s">
        <v>221</v>
      </c>
      <c r="E414" s="8" t="s">
        <v>44</v>
      </c>
      <c r="F414" s="8" t="s">
        <v>45</v>
      </c>
      <c r="G414" s="10">
        <v>1473.0</v>
      </c>
      <c r="H414" s="10">
        <v>5700.0</v>
      </c>
      <c r="I414" s="12"/>
    </row>
    <row r="415">
      <c r="A415" s="8" t="s">
        <v>174</v>
      </c>
      <c r="B415" s="10">
        <v>15700.0</v>
      </c>
      <c r="C415" s="8" t="s">
        <v>221</v>
      </c>
      <c r="D415" s="8" t="s">
        <v>186</v>
      </c>
      <c r="E415" s="8" t="s">
        <v>40</v>
      </c>
      <c r="F415" s="8" t="s">
        <v>29</v>
      </c>
      <c r="G415" s="14"/>
      <c r="H415" s="10">
        <v>0.0</v>
      </c>
      <c r="I415" s="12"/>
    </row>
    <row r="416">
      <c r="A416" s="8" t="s">
        <v>174</v>
      </c>
      <c r="B416" s="10">
        <v>15700.0</v>
      </c>
      <c r="C416" s="8" t="s">
        <v>186</v>
      </c>
      <c r="D416" s="8" t="s">
        <v>52</v>
      </c>
      <c r="E416" s="8" t="s">
        <v>208</v>
      </c>
      <c r="F416" s="8" t="s">
        <v>49</v>
      </c>
      <c r="G416" s="12"/>
      <c r="H416" s="10">
        <v>3500.0</v>
      </c>
      <c r="I416" s="8" t="s">
        <v>51</v>
      </c>
    </row>
    <row r="417">
      <c r="A417" s="8" t="s">
        <v>174</v>
      </c>
      <c r="B417" s="10">
        <v>15700.0</v>
      </c>
      <c r="C417" s="8" t="s">
        <v>52</v>
      </c>
      <c r="D417" s="8" t="s">
        <v>53</v>
      </c>
      <c r="E417" s="8">
        <v>1.0</v>
      </c>
      <c r="F417" s="8" t="s">
        <v>49</v>
      </c>
      <c r="G417" s="12"/>
      <c r="H417" s="10">
        <v>0.0</v>
      </c>
      <c r="I417" s="8" t="s">
        <v>56</v>
      </c>
    </row>
    <row r="418">
      <c r="A418" s="8" t="s">
        <v>174</v>
      </c>
      <c r="B418" s="10">
        <v>15700.0</v>
      </c>
      <c r="C418" s="8" t="s">
        <v>53</v>
      </c>
      <c r="D418" s="8" t="s">
        <v>53</v>
      </c>
      <c r="E418" s="8" t="s">
        <v>57</v>
      </c>
      <c r="F418" s="8" t="s">
        <v>29</v>
      </c>
      <c r="G418" s="14"/>
      <c r="H418" s="10">
        <v>0.0</v>
      </c>
      <c r="I418" s="12"/>
    </row>
    <row r="419">
      <c r="A419" s="8" t="s">
        <v>177</v>
      </c>
      <c r="B419" s="10">
        <v>15700.0</v>
      </c>
      <c r="C419" s="8" t="s">
        <v>25</v>
      </c>
      <c r="D419" s="8" t="s">
        <v>26</v>
      </c>
      <c r="E419" s="8" t="s">
        <v>27</v>
      </c>
      <c r="F419" s="8" t="s">
        <v>29</v>
      </c>
      <c r="G419" s="12"/>
      <c r="H419" s="10">
        <v>0.0</v>
      </c>
      <c r="I419" s="12"/>
    </row>
    <row r="420">
      <c r="A420" s="8" t="s">
        <v>177</v>
      </c>
      <c r="B420" s="10">
        <v>15700.0</v>
      </c>
      <c r="C420" s="8" t="s">
        <v>26</v>
      </c>
      <c r="D420" s="8" t="s">
        <v>223</v>
      </c>
      <c r="E420" s="8" t="s">
        <v>37</v>
      </c>
      <c r="F420" s="8" t="s">
        <v>38</v>
      </c>
      <c r="G420" s="10">
        <v>3693.0</v>
      </c>
      <c r="H420" s="10">
        <v>3000.0</v>
      </c>
      <c r="I420" s="14"/>
    </row>
    <row r="421">
      <c r="A421" s="8" t="s">
        <v>177</v>
      </c>
      <c r="B421" s="10">
        <v>15700.0</v>
      </c>
      <c r="C421" s="8" t="s">
        <v>223</v>
      </c>
      <c r="D421" s="8" t="s">
        <v>224</v>
      </c>
      <c r="E421" s="8" t="s">
        <v>225</v>
      </c>
      <c r="F421" s="8" t="s">
        <v>49</v>
      </c>
      <c r="G421" s="12"/>
      <c r="H421" s="10">
        <v>3500.0</v>
      </c>
      <c r="I421" s="8" t="s">
        <v>51</v>
      </c>
    </row>
    <row r="422">
      <c r="A422" s="8" t="s">
        <v>177</v>
      </c>
      <c r="B422" s="10">
        <v>15700.0</v>
      </c>
      <c r="C422" s="8" t="s">
        <v>224</v>
      </c>
      <c r="D422" s="8" t="s">
        <v>228</v>
      </c>
      <c r="E422" s="8" t="s">
        <v>40</v>
      </c>
      <c r="F422" s="8" t="s">
        <v>29</v>
      </c>
      <c r="G422" s="12"/>
      <c r="H422" s="10">
        <v>0.0</v>
      </c>
      <c r="I422" s="12"/>
    </row>
    <row r="423">
      <c r="A423" s="8" t="s">
        <v>177</v>
      </c>
      <c r="B423" s="10">
        <v>15700.0</v>
      </c>
      <c r="C423" s="8" t="s">
        <v>228</v>
      </c>
      <c r="D423" s="8" t="s">
        <v>39</v>
      </c>
      <c r="E423" s="8">
        <v>9.0</v>
      </c>
      <c r="F423" s="8" t="s">
        <v>49</v>
      </c>
      <c r="G423" s="12"/>
      <c r="H423" s="10">
        <v>0.0</v>
      </c>
      <c r="I423" s="8" t="s">
        <v>56</v>
      </c>
    </row>
    <row r="424">
      <c r="A424" s="8" t="s">
        <v>177</v>
      </c>
      <c r="B424" s="10">
        <v>15700.0</v>
      </c>
      <c r="C424" s="8" t="s">
        <v>39</v>
      </c>
      <c r="D424" s="8" t="s">
        <v>221</v>
      </c>
      <c r="E424" s="8" t="s">
        <v>44</v>
      </c>
      <c r="F424" s="8" t="s">
        <v>45</v>
      </c>
      <c r="G424" s="10">
        <v>1473.0</v>
      </c>
      <c r="H424" s="10">
        <v>5700.0</v>
      </c>
      <c r="I424" s="12"/>
    </row>
    <row r="425">
      <c r="A425" s="8" t="s">
        <v>177</v>
      </c>
      <c r="B425" s="10">
        <v>15700.0</v>
      </c>
      <c r="C425" s="8" t="s">
        <v>221</v>
      </c>
      <c r="D425" s="8" t="s">
        <v>186</v>
      </c>
      <c r="E425" s="8" t="s">
        <v>40</v>
      </c>
      <c r="F425" s="8" t="s">
        <v>29</v>
      </c>
      <c r="G425" s="12"/>
      <c r="H425" s="10">
        <v>0.0</v>
      </c>
      <c r="I425" s="12"/>
    </row>
    <row r="426">
      <c r="A426" s="8" t="s">
        <v>177</v>
      </c>
      <c r="B426" s="10">
        <v>15700.0</v>
      </c>
      <c r="C426" s="8" t="s">
        <v>186</v>
      </c>
      <c r="D426" s="8" t="s">
        <v>199</v>
      </c>
      <c r="E426" s="8">
        <v>9.0</v>
      </c>
      <c r="F426" s="8" t="s">
        <v>49</v>
      </c>
      <c r="G426" s="12"/>
      <c r="H426" s="10">
        <v>3500.0</v>
      </c>
      <c r="I426" s="8" t="s">
        <v>51</v>
      </c>
    </row>
    <row r="427">
      <c r="A427" s="8" t="s">
        <v>177</v>
      </c>
      <c r="B427" s="10">
        <v>15700.0</v>
      </c>
      <c r="C427" s="8" t="s">
        <v>199</v>
      </c>
      <c r="D427" s="8" t="s">
        <v>202</v>
      </c>
      <c r="E427" s="8" t="s">
        <v>40</v>
      </c>
      <c r="F427" s="8" t="s">
        <v>29</v>
      </c>
      <c r="G427" s="12"/>
      <c r="H427" s="10">
        <v>0.0</v>
      </c>
      <c r="I427" s="12"/>
    </row>
    <row r="428">
      <c r="A428" s="8" t="s">
        <v>177</v>
      </c>
      <c r="B428" s="10">
        <v>15700.0</v>
      </c>
      <c r="C428" s="8" t="s">
        <v>202</v>
      </c>
      <c r="D428" s="8" t="s">
        <v>52</v>
      </c>
      <c r="E428" s="8" t="s">
        <v>209</v>
      </c>
      <c r="F428" s="8" t="s">
        <v>49</v>
      </c>
      <c r="G428" s="12"/>
      <c r="H428" s="10">
        <v>0.0</v>
      </c>
      <c r="I428" s="8" t="s">
        <v>56</v>
      </c>
    </row>
    <row r="429">
      <c r="A429" s="8" t="s">
        <v>177</v>
      </c>
      <c r="B429" s="10">
        <v>15700.0</v>
      </c>
      <c r="C429" s="8" t="s">
        <v>52</v>
      </c>
      <c r="D429" s="8" t="s">
        <v>53</v>
      </c>
      <c r="E429" s="8">
        <v>1.0</v>
      </c>
      <c r="F429" s="8" t="s">
        <v>49</v>
      </c>
      <c r="G429" s="12"/>
      <c r="H429" s="10">
        <v>0.0</v>
      </c>
      <c r="I429" s="8" t="s">
        <v>56</v>
      </c>
    </row>
    <row r="430">
      <c r="A430" s="8" t="s">
        <v>177</v>
      </c>
      <c r="B430" s="10">
        <v>15700.0</v>
      </c>
      <c r="C430" s="8" t="s">
        <v>53</v>
      </c>
      <c r="D430" s="8" t="s">
        <v>53</v>
      </c>
      <c r="E430" s="8" t="s">
        <v>57</v>
      </c>
      <c r="F430" s="8" t="s">
        <v>29</v>
      </c>
      <c r="G430" s="12"/>
      <c r="H430" s="10">
        <v>0.0</v>
      </c>
      <c r="I430" s="12"/>
    </row>
    <row r="431">
      <c r="A431" s="8" t="s">
        <v>179</v>
      </c>
      <c r="B431" s="10">
        <v>15700.0</v>
      </c>
      <c r="C431" s="8" t="s">
        <v>25</v>
      </c>
      <c r="D431" s="8" t="s">
        <v>26</v>
      </c>
      <c r="E431" s="8" t="s">
        <v>27</v>
      </c>
      <c r="F431" s="8" t="s">
        <v>29</v>
      </c>
      <c r="G431" s="12"/>
      <c r="H431" s="10">
        <v>0.0</v>
      </c>
      <c r="I431" s="12"/>
    </row>
    <row r="432">
      <c r="A432" s="8" t="s">
        <v>179</v>
      </c>
      <c r="B432" s="10">
        <v>15700.0</v>
      </c>
      <c r="C432" s="8" t="s">
        <v>26</v>
      </c>
      <c r="D432" s="8" t="s">
        <v>223</v>
      </c>
      <c r="E432" s="8" t="s">
        <v>37</v>
      </c>
      <c r="F432" s="8" t="s">
        <v>38</v>
      </c>
      <c r="G432" s="10">
        <v>3693.0</v>
      </c>
      <c r="H432" s="10">
        <v>3000.0</v>
      </c>
      <c r="I432" s="12"/>
    </row>
    <row r="433">
      <c r="A433" s="8" t="s">
        <v>179</v>
      </c>
      <c r="B433" s="10">
        <v>15700.0</v>
      </c>
      <c r="C433" s="8" t="s">
        <v>223</v>
      </c>
      <c r="D433" s="8" t="s">
        <v>224</v>
      </c>
      <c r="E433" s="8" t="s">
        <v>225</v>
      </c>
      <c r="F433" s="8" t="s">
        <v>49</v>
      </c>
      <c r="G433" s="12"/>
      <c r="H433" s="10">
        <v>3500.0</v>
      </c>
      <c r="I433" s="8" t="s">
        <v>51</v>
      </c>
    </row>
    <row r="434">
      <c r="A434" s="8" t="s">
        <v>179</v>
      </c>
      <c r="B434" s="10">
        <v>15700.0</v>
      </c>
      <c r="C434" s="8" t="s">
        <v>224</v>
      </c>
      <c r="D434" s="8" t="s">
        <v>228</v>
      </c>
      <c r="E434" s="8" t="s">
        <v>40</v>
      </c>
      <c r="F434" s="8" t="s">
        <v>29</v>
      </c>
      <c r="G434" s="12"/>
      <c r="H434" s="10">
        <v>0.0</v>
      </c>
      <c r="I434" s="12"/>
    </row>
    <row r="435">
      <c r="A435" s="8" t="s">
        <v>179</v>
      </c>
      <c r="B435" s="10">
        <v>15700.0</v>
      </c>
      <c r="C435" s="8" t="s">
        <v>228</v>
      </c>
      <c r="D435" s="8" t="s">
        <v>39</v>
      </c>
      <c r="E435" s="8">
        <v>9.0</v>
      </c>
      <c r="F435" s="8" t="s">
        <v>49</v>
      </c>
      <c r="G435" s="12"/>
      <c r="H435" s="10">
        <v>0.0</v>
      </c>
      <c r="I435" s="8" t="s">
        <v>56</v>
      </c>
    </row>
    <row r="436">
      <c r="A436" s="8" t="s">
        <v>179</v>
      </c>
      <c r="B436" s="10">
        <v>15700.0</v>
      </c>
      <c r="C436" s="8" t="s">
        <v>39</v>
      </c>
      <c r="D436" s="8" t="s">
        <v>221</v>
      </c>
      <c r="E436" s="8" t="s">
        <v>44</v>
      </c>
      <c r="F436" s="8" t="s">
        <v>45</v>
      </c>
      <c r="G436" s="10">
        <v>1473.0</v>
      </c>
      <c r="H436" s="10">
        <v>5700.0</v>
      </c>
      <c r="I436" s="12"/>
    </row>
    <row r="437">
      <c r="A437" s="8" t="s">
        <v>179</v>
      </c>
      <c r="B437" s="10">
        <v>15700.0</v>
      </c>
      <c r="C437" s="8" t="s">
        <v>221</v>
      </c>
      <c r="D437" s="8" t="s">
        <v>186</v>
      </c>
      <c r="E437" s="8" t="s">
        <v>40</v>
      </c>
      <c r="F437" s="8" t="s">
        <v>29</v>
      </c>
      <c r="G437" s="12"/>
      <c r="H437" s="10">
        <v>0.0</v>
      </c>
      <c r="I437" s="12"/>
    </row>
    <row r="438">
      <c r="A438" s="8" t="s">
        <v>179</v>
      </c>
      <c r="B438" s="10">
        <v>15700.0</v>
      </c>
      <c r="C438" s="8" t="s">
        <v>186</v>
      </c>
      <c r="D438" s="8" t="s">
        <v>199</v>
      </c>
      <c r="E438" s="8">
        <v>9.0</v>
      </c>
      <c r="F438" s="8" t="s">
        <v>49</v>
      </c>
      <c r="G438" s="12"/>
      <c r="H438" s="10">
        <v>3500.0</v>
      </c>
      <c r="I438" s="8" t="s">
        <v>51</v>
      </c>
    </row>
    <row r="439">
      <c r="A439" s="8" t="s">
        <v>179</v>
      </c>
      <c r="B439" s="10">
        <v>15700.0</v>
      </c>
      <c r="C439" s="8" t="s">
        <v>199</v>
      </c>
      <c r="D439" s="8" t="s">
        <v>202</v>
      </c>
      <c r="E439" s="8" t="s">
        <v>40</v>
      </c>
      <c r="F439" s="8" t="s">
        <v>29</v>
      </c>
      <c r="G439" s="12"/>
      <c r="H439" s="10">
        <v>0.0</v>
      </c>
      <c r="I439" s="12"/>
    </row>
    <row r="440">
      <c r="A440" s="8" t="s">
        <v>179</v>
      </c>
      <c r="B440" s="10">
        <v>15700.0</v>
      </c>
      <c r="C440" s="8" t="s">
        <v>202</v>
      </c>
      <c r="D440" s="8" t="s">
        <v>115</v>
      </c>
      <c r="E440" s="8" t="s">
        <v>207</v>
      </c>
      <c r="F440" s="8" t="s">
        <v>49</v>
      </c>
      <c r="G440" s="12"/>
      <c r="H440" s="10">
        <v>0.0</v>
      </c>
      <c r="I440" s="8" t="s">
        <v>56</v>
      </c>
    </row>
    <row r="441">
      <c r="A441" s="8" t="s">
        <v>179</v>
      </c>
      <c r="B441" s="10">
        <v>15700.0</v>
      </c>
      <c r="C441" s="8" t="s">
        <v>115</v>
      </c>
      <c r="D441" s="8" t="s">
        <v>53</v>
      </c>
      <c r="E441" s="8" t="s">
        <v>57</v>
      </c>
      <c r="F441" s="8" t="s">
        <v>29</v>
      </c>
      <c r="G441" s="12"/>
      <c r="H441" s="10">
        <v>0.0</v>
      </c>
      <c r="I441" s="12"/>
    </row>
    <row r="442">
      <c r="A442" s="8" t="s">
        <v>181</v>
      </c>
      <c r="B442" s="10">
        <v>15700.0</v>
      </c>
      <c r="C442" s="8" t="s">
        <v>25</v>
      </c>
      <c r="D442" s="8" t="s">
        <v>26</v>
      </c>
      <c r="E442" s="8" t="s">
        <v>27</v>
      </c>
      <c r="F442" s="8" t="s">
        <v>29</v>
      </c>
      <c r="G442" s="12"/>
      <c r="H442" s="10">
        <v>0.0</v>
      </c>
      <c r="I442" s="12"/>
    </row>
    <row r="443">
      <c r="A443" s="8" t="s">
        <v>181</v>
      </c>
      <c r="B443" s="10">
        <v>15700.0</v>
      </c>
      <c r="C443" s="8" t="s">
        <v>26</v>
      </c>
      <c r="D443" s="8" t="s">
        <v>223</v>
      </c>
      <c r="E443" s="8" t="s">
        <v>37</v>
      </c>
      <c r="F443" s="8" t="s">
        <v>38</v>
      </c>
      <c r="G443" s="10">
        <v>3693.0</v>
      </c>
      <c r="H443" s="10">
        <v>3000.0</v>
      </c>
      <c r="I443" s="12"/>
    </row>
    <row r="444">
      <c r="A444" s="8" t="s">
        <v>181</v>
      </c>
      <c r="B444" s="10">
        <v>15700.0</v>
      </c>
      <c r="C444" s="8" t="s">
        <v>223</v>
      </c>
      <c r="D444" s="8" t="s">
        <v>224</v>
      </c>
      <c r="E444" s="8" t="s">
        <v>225</v>
      </c>
      <c r="F444" s="8" t="s">
        <v>49</v>
      </c>
      <c r="G444" s="12"/>
      <c r="H444" s="10">
        <v>3500.0</v>
      </c>
      <c r="I444" s="8" t="s">
        <v>51</v>
      </c>
    </row>
    <row r="445">
      <c r="A445" s="8" t="s">
        <v>181</v>
      </c>
      <c r="B445" s="10">
        <v>15700.0</v>
      </c>
      <c r="C445" s="8" t="s">
        <v>224</v>
      </c>
      <c r="D445" s="8" t="s">
        <v>228</v>
      </c>
      <c r="E445" s="8" t="s">
        <v>40</v>
      </c>
      <c r="F445" s="8" t="s">
        <v>29</v>
      </c>
      <c r="G445" s="12"/>
      <c r="H445" s="10">
        <v>0.0</v>
      </c>
      <c r="I445" s="12"/>
    </row>
    <row r="446">
      <c r="A446" s="8" t="s">
        <v>181</v>
      </c>
      <c r="B446" s="10">
        <v>15700.0</v>
      </c>
      <c r="C446" s="8" t="s">
        <v>228</v>
      </c>
      <c r="D446" s="8" t="s">
        <v>39</v>
      </c>
      <c r="E446" s="8">
        <v>9.0</v>
      </c>
      <c r="F446" s="8" t="s">
        <v>49</v>
      </c>
      <c r="G446" s="12"/>
      <c r="H446" s="10">
        <v>0.0</v>
      </c>
      <c r="I446" s="8" t="s">
        <v>56</v>
      </c>
    </row>
    <row r="447">
      <c r="A447" s="8" t="s">
        <v>181</v>
      </c>
      <c r="B447" s="10">
        <v>15700.0</v>
      </c>
      <c r="C447" s="8" t="s">
        <v>39</v>
      </c>
      <c r="D447" s="8" t="s">
        <v>221</v>
      </c>
      <c r="E447" s="8" t="s">
        <v>44</v>
      </c>
      <c r="F447" s="8" t="s">
        <v>45</v>
      </c>
      <c r="G447" s="10">
        <v>1473.0</v>
      </c>
      <c r="H447" s="10">
        <v>5700.0</v>
      </c>
      <c r="I447" s="12"/>
    </row>
    <row r="448">
      <c r="A448" s="8" t="s">
        <v>181</v>
      </c>
      <c r="B448" s="10">
        <v>15700.0</v>
      </c>
      <c r="C448" s="8" t="s">
        <v>221</v>
      </c>
      <c r="D448" s="8" t="s">
        <v>186</v>
      </c>
      <c r="E448" s="8" t="s">
        <v>40</v>
      </c>
      <c r="F448" s="8" t="s">
        <v>29</v>
      </c>
      <c r="G448" s="12"/>
      <c r="H448" s="10">
        <v>0.0</v>
      </c>
      <c r="I448" s="12"/>
    </row>
    <row r="449">
      <c r="A449" s="8" t="s">
        <v>181</v>
      </c>
      <c r="B449" s="10">
        <v>15700.0</v>
      </c>
      <c r="C449" s="8" t="s">
        <v>186</v>
      </c>
      <c r="D449" s="8" t="s">
        <v>210</v>
      </c>
      <c r="E449" s="8" t="s">
        <v>211</v>
      </c>
      <c r="F449" s="8" t="s">
        <v>49</v>
      </c>
      <c r="G449" s="12"/>
      <c r="H449" s="10">
        <v>3500.0</v>
      </c>
      <c r="I449" s="8" t="s">
        <v>51</v>
      </c>
    </row>
    <row r="450">
      <c r="A450" s="8" t="s">
        <v>181</v>
      </c>
      <c r="B450" s="10">
        <v>15700.0</v>
      </c>
      <c r="C450" s="8" t="s">
        <v>210</v>
      </c>
      <c r="D450" s="8" t="s">
        <v>53</v>
      </c>
      <c r="E450" s="8">
        <v>1.0</v>
      </c>
      <c r="F450" s="8" t="s">
        <v>49</v>
      </c>
      <c r="G450" s="12"/>
      <c r="H450" s="10">
        <v>0.0</v>
      </c>
      <c r="I450" s="8" t="s">
        <v>56</v>
      </c>
    </row>
    <row r="451">
      <c r="A451" s="8" t="s">
        <v>181</v>
      </c>
      <c r="B451" s="10">
        <v>15700.0</v>
      </c>
      <c r="C451" s="8" t="s">
        <v>53</v>
      </c>
      <c r="D451" s="8" t="s">
        <v>53</v>
      </c>
      <c r="E451" s="8" t="s">
        <v>57</v>
      </c>
      <c r="F451" s="8" t="s">
        <v>29</v>
      </c>
      <c r="G451" s="12"/>
      <c r="H451" s="10">
        <v>0.0</v>
      </c>
      <c r="I451" s="12"/>
    </row>
    <row r="452">
      <c r="A452" s="8" t="s">
        <v>184</v>
      </c>
      <c r="B452" s="10">
        <v>5500.0</v>
      </c>
      <c r="C452" s="8" t="s">
        <v>25</v>
      </c>
      <c r="D452" s="8" t="s">
        <v>309</v>
      </c>
      <c r="E452" s="8" t="s">
        <v>61</v>
      </c>
      <c r="F452" s="8" t="s">
        <v>49</v>
      </c>
      <c r="G452" s="12"/>
      <c r="H452" s="10">
        <v>3500.0</v>
      </c>
      <c r="I452" s="8" t="s">
        <v>51</v>
      </c>
    </row>
    <row r="453">
      <c r="A453" s="8" t="s">
        <v>184</v>
      </c>
      <c r="B453" s="10">
        <v>5500.0</v>
      </c>
      <c r="C453" s="8" t="s">
        <v>309</v>
      </c>
      <c r="D453" s="8" t="s">
        <v>310</v>
      </c>
      <c r="E453" s="8" t="s">
        <v>311</v>
      </c>
      <c r="F453" s="8" t="s">
        <v>49</v>
      </c>
      <c r="G453" s="12"/>
      <c r="H453" s="10">
        <v>0.0</v>
      </c>
      <c r="I453" s="8" t="s">
        <v>56</v>
      </c>
    </row>
    <row r="454">
      <c r="A454" s="8" t="s">
        <v>184</v>
      </c>
      <c r="B454" s="10">
        <v>5500.0</v>
      </c>
      <c r="C454" s="8" t="s">
        <v>310</v>
      </c>
      <c r="D454" s="8" t="s">
        <v>314</v>
      </c>
      <c r="E454" s="8" t="s">
        <v>101</v>
      </c>
      <c r="F454" s="8" t="s">
        <v>73</v>
      </c>
      <c r="G454" s="10">
        <v>1226.0</v>
      </c>
      <c r="H454" s="10">
        <v>2000.0</v>
      </c>
      <c r="I454" s="12"/>
    </row>
    <row r="455">
      <c r="A455" s="8" t="s">
        <v>184</v>
      </c>
      <c r="B455" s="10">
        <v>5500.0</v>
      </c>
      <c r="C455" s="8" t="s">
        <v>314</v>
      </c>
      <c r="D455" s="8" t="s">
        <v>53</v>
      </c>
      <c r="E455" s="8" t="s">
        <v>57</v>
      </c>
      <c r="F455" s="8" t="s">
        <v>29</v>
      </c>
      <c r="G455" s="12"/>
      <c r="H455" s="10">
        <v>0.0</v>
      </c>
      <c r="I455" s="12"/>
    </row>
    <row r="456">
      <c r="A456" s="8" t="s">
        <v>187</v>
      </c>
      <c r="B456" s="10">
        <v>8500.0</v>
      </c>
      <c r="C456" s="8" t="s">
        <v>25</v>
      </c>
      <c r="D456" s="8" t="s">
        <v>26</v>
      </c>
      <c r="E456" s="8" t="s">
        <v>27</v>
      </c>
      <c r="F456" s="8" t="s">
        <v>29</v>
      </c>
      <c r="G456" s="12"/>
      <c r="H456" s="10">
        <v>0.0</v>
      </c>
      <c r="I456" s="12"/>
    </row>
    <row r="457">
      <c r="A457" s="8" t="s">
        <v>187</v>
      </c>
      <c r="B457" s="10">
        <v>8500.0</v>
      </c>
      <c r="C457" s="8" t="s">
        <v>26</v>
      </c>
      <c r="D457" s="8" t="s">
        <v>285</v>
      </c>
      <c r="E457" s="8" t="s">
        <v>37</v>
      </c>
      <c r="F457" s="8" t="s">
        <v>38</v>
      </c>
      <c r="G457" s="10">
        <v>8895.0</v>
      </c>
      <c r="H457" s="10">
        <v>3000.0</v>
      </c>
      <c r="I457" s="12"/>
    </row>
    <row r="458">
      <c r="A458" s="8" t="s">
        <v>187</v>
      </c>
      <c r="B458" s="10">
        <v>8500.0</v>
      </c>
      <c r="C458" s="8" t="s">
        <v>285</v>
      </c>
      <c r="D458" s="8" t="s">
        <v>310</v>
      </c>
      <c r="E458" s="8" t="s">
        <v>311</v>
      </c>
      <c r="F458" s="8" t="s">
        <v>49</v>
      </c>
      <c r="G458" s="12"/>
      <c r="H458" s="10">
        <v>3500.0</v>
      </c>
      <c r="I458" s="8" t="s">
        <v>51</v>
      </c>
    </row>
    <row r="459">
      <c r="A459" s="8" t="s">
        <v>187</v>
      </c>
      <c r="B459" s="10">
        <v>8500.0</v>
      </c>
      <c r="C459" s="8" t="s">
        <v>310</v>
      </c>
      <c r="D459" s="8" t="s">
        <v>314</v>
      </c>
      <c r="E459" s="8" t="s">
        <v>101</v>
      </c>
      <c r="F459" s="8" t="s">
        <v>73</v>
      </c>
      <c r="G459" s="10">
        <v>1226.0</v>
      </c>
      <c r="H459" s="10">
        <v>2000.0</v>
      </c>
      <c r="I459" s="12"/>
    </row>
    <row r="460">
      <c r="A460" s="8" t="s">
        <v>187</v>
      </c>
      <c r="B460" s="10">
        <v>8500.0</v>
      </c>
      <c r="C460" s="8" t="s">
        <v>314</v>
      </c>
      <c r="D460" s="8" t="s">
        <v>53</v>
      </c>
      <c r="E460" s="8" t="s">
        <v>57</v>
      </c>
      <c r="F460" s="8" t="s">
        <v>29</v>
      </c>
      <c r="G460" s="12"/>
      <c r="H460" s="10">
        <v>0.0</v>
      </c>
      <c r="I460" s="12"/>
    </row>
    <row r="461">
      <c r="A461" s="8" t="s">
        <v>191</v>
      </c>
      <c r="B461" s="10">
        <v>6500.0</v>
      </c>
      <c r="C461" s="8" t="s">
        <v>25</v>
      </c>
      <c r="D461" s="8" t="s">
        <v>26</v>
      </c>
      <c r="E461" s="8" t="s">
        <v>27</v>
      </c>
      <c r="F461" s="8" t="s">
        <v>29</v>
      </c>
      <c r="G461" s="12"/>
      <c r="H461" s="10">
        <v>0.0</v>
      </c>
      <c r="I461" s="12"/>
    </row>
    <row r="462">
      <c r="A462" s="8" t="s">
        <v>191</v>
      </c>
      <c r="B462" s="10">
        <v>6500.0</v>
      </c>
      <c r="C462" s="8" t="s">
        <v>26</v>
      </c>
      <c r="D462" s="8" t="s">
        <v>321</v>
      </c>
      <c r="E462" s="8" t="s">
        <v>37</v>
      </c>
      <c r="F462" s="8" t="s">
        <v>38</v>
      </c>
      <c r="G462" s="10">
        <v>12353.0</v>
      </c>
      <c r="H462" s="10">
        <v>3000.0</v>
      </c>
      <c r="I462" s="12"/>
    </row>
    <row r="463">
      <c r="A463" s="8" t="s">
        <v>191</v>
      </c>
      <c r="B463" s="10">
        <v>6500.0</v>
      </c>
      <c r="C463" s="8" t="s">
        <v>321</v>
      </c>
      <c r="D463" s="8" t="s">
        <v>314</v>
      </c>
      <c r="E463" s="8" t="s">
        <v>323</v>
      </c>
      <c r="F463" s="8" t="s">
        <v>49</v>
      </c>
      <c r="G463" s="12"/>
      <c r="H463" s="10">
        <v>3500.0</v>
      </c>
      <c r="I463" s="8" t="s">
        <v>51</v>
      </c>
    </row>
    <row r="464">
      <c r="A464" s="8" t="s">
        <v>191</v>
      </c>
      <c r="B464" s="10">
        <v>6500.0</v>
      </c>
      <c r="C464" s="8" t="s">
        <v>314</v>
      </c>
      <c r="D464" s="8" t="s">
        <v>53</v>
      </c>
      <c r="E464" s="8" t="s">
        <v>57</v>
      </c>
      <c r="F464" s="8" t="s">
        <v>29</v>
      </c>
      <c r="G464" s="12"/>
      <c r="H464" s="10">
        <v>0.0</v>
      </c>
      <c r="I464" s="12"/>
    </row>
    <row r="465">
      <c r="A465" s="8" t="s">
        <v>193</v>
      </c>
      <c r="B465" s="10">
        <v>21300.0</v>
      </c>
      <c r="C465" s="8" t="s">
        <v>25</v>
      </c>
      <c r="D465" s="8" t="s">
        <v>26</v>
      </c>
      <c r="E465" s="8" t="s">
        <v>27</v>
      </c>
      <c r="F465" s="8" t="s">
        <v>29</v>
      </c>
      <c r="G465" s="12"/>
      <c r="H465" s="10">
        <v>0.0</v>
      </c>
      <c r="I465" s="12"/>
    </row>
    <row r="466">
      <c r="A466" s="8" t="s">
        <v>193</v>
      </c>
      <c r="B466" s="10">
        <v>21300.0</v>
      </c>
      <c r="C466" s="8" t="s">
        <v>26</v>
      </c>
      <c r="D466" s="8" t="s">
        <v>36</v>
      </c>
      <c r="E466" s="8" t="s">
        <v>37</v>
      </c>
      <c r="F466" s="8" t="s">
        <v>38</v>
      </c>
      <c r="G466" s="10">
        <v>13784.0</v>
      </c>
      <c r="H466" s="10">
        <v>3000.0</v>
      </c>
      <c r="I466" s="12"/>
    </row>
    <row r="467">
      <c r="A467" s="8" t="s">
        <v>193</v>
      </c>
      <c r="B467" s="10">
        <v>21300.0</v>
      </c>
      <c r="C467" s="8" t="s">
        <v>36</v>
      </c>
      <c r="D467" s="8" t="s">
        <v>39</v>
      </c>
      <c r="E467" s="8" t="s">
        <v>40</v>
      </c>
      <c r="F467" s="8" t="s">
        <v>29</v>
      </c>
      <c r="G467" s="12"/>
      <c r="H467" s="10">
        <v>0.0</v>
      </c>
      <c r="I467" s="12"/>
    </row>
    <row r="468">
      <c r="A468" s="8" t="s">
        <v>193</v>
      </c>
      <c r="B468" s="10">
        <v>21300.0</v>
      </c>
      <c r="C468" s="8" t="s">
        <v>39</v>
      </c>
      <c r="D468" s="8" t="s">
        <v>79</v>
      </c>
      <c r="E468" s="8" t="s">
        <v>44</v>
      </c>
      <c r="F468" s="8" t="s">
        <v>45</v>
      </c>
      <c r="G468" s="10">
        <v>9126.0</v>
      </c>
      <c r="H468" s="10">
        <v>11300.0</v>
      </c>
      <c r="I468" s="12"/>
    </row>
    <row r="469">
      <c r="A469" s="8" t="s">
        <v>193</v>
      </c>
      <c r="B469" s="10">
        <v>21300.0</v>
      </c>
      <c r="C469" s="8" t="s">
        <v>79</v>
      </c>
      <c r="D469" s="8" t="s">
        <v>66</v>
      </c>
      <c r="E469" s="8" t="s">
        <v>40</v>
      </c>
      <c r="F469" s="8" t="s">
        <v>29</v>
      </c>
      <c r="G469" s="12"/>
      <c r="H469" s="10">
        <v>0.0</v>
      </c>
      <c r="I469" s="12"/>
    </row>
    <row r="470">
      <c r="A470" s="8" t="s">
        <v>193</v>
      </c>
      <c r="B470" s="10">
        <v>21300.0</v>
      </c>
      <c r="C470" s="8" t="s">
        <v>66</v>
      </c>
      <c r="D470" s="8" t="s">
        <v>69</v>
      </c>
      <c r="E470" s="8" t="s">
        <v>71</v>
      </c>
      <c r="F470" s="8" t="s">
        <v>73</v>
      </c>
      <c r="G470" s="10">
        <v>6065.0</v>
      </c>
      <c r="H470" s="10">
        <v>7000.0</v>
      </c>
      <c r="I470" s="12"/>
    </row>
    <row r="471">
      <c r="A471" s="8" t="s">
        <v>193</v>
      </c>
      <c r="B471" s="10">
        <v>21300.0</v>
      </c>
      <c r="C471" s="8" t="s">
        <v>69</v>
      </c>
      <c r="D471" s="8" t="s">
        <v>53</v>
      </c>
      <c r="E471" s="8" t="s">
        <v>57</v>
      </c>
      <c r="F471" s="8" t="s">
        <v>29</v>
      </c>
      <c r="G471" s="12"/>
      <c r="H471" s="10">
        <v>0.0</v>
      </c>
      <c r="I471" s="12"/>
    </row>
    <row r="472">
      <c r="A472" s="8" t="s">
        <v>195</v>
      </c>
      <c r="B472" s="10">
        <v>3500.0</v>
      </c>
      <c r="C472" s="8" t="s">
        <v>25</v>
      </c>
      <c r="D472" s="8" t="s">
        <v>309</v>
      </c>
      <c r="E472" s="8" t="s">
        <v>61</v>
      </c>
      <c r="F472" s="8" t="s">
        <v>49</v>
      </c>
      <c r="G472" s="12"/>
      <c r="H472" s="10">
        <v>3500.0</v>
      </c>
      <c r="I472" s="8" t="s">
        <v>51</v>
      </c>
    </row>
    <row r="473">
      <c r="A473" s="8" t="s">
        <v>195</v>
      </c>
      <c r="B473" s="10">
        <v>3500.0</v>
      </c>
      <c r="C473" s="8" t="s">
        <v>309</v>
      </c>
      <c r="D473" s="8" t="s">
        <v>127</v>
      </c>
      <c r="E473" s="8" t="s">
        <v>219</v>
      </c>
      <c r="F473" s="8" t="s">
        <v>49</v>
      </c>
      <c r="G473" s="12"/>
      <c r="H473" s="10">
        <v>0.0</v>
      </c>
      <c r="I473" s="8" t="s">
        <v>56</v>
      </c>
    </row>
    <row r="474">
      <c r="A474" s="8" t="s">
        <v>195</v>
      </c>
      <c r="B474" s="10">
        <v>3500.0</v>
      </c>
      <c r="C474" s="8" t="s">
        <v>127</v>
      </c>
      <c r="D474" s="8" t="s">
        <v>53</v>
      </c>
      <c r="E474" s="8" t="s">
        <v>57</v>
      </c>
      <c r="F474" s="8" t="s">
        <v>29</v>
      </c>
      <c r="G474" s="12"/>
      <c r="H474" s="10">
        <v>0.0</v>
      </c>
      <c r="I474" s="12"/>
    </row>
    <row r="475">
      <c r="A475" s="8" t="s">
        <v>197</v>
      </c>
      <c r="B475" s="10">
        <v>3500.0</v>
      </c>
      <c r="C475" s="8" t="s">
        <v>25</v>
      </c>
      <c r="D475" s="8" t="s">
        <v>329</v>
      </c>
      <c r="E475" s="8" t="s">
        <v>61</v>
      </c>
      <c r="F475" s="8" t="s">
        <v>49</v>
      </c>
      <c r="G475" s="12"/>
      <c r="H475" s="10">
        <v>3500.0</v>
      </c>
      <c r="I475" s="8" t="s">
        <v>51</v>
      </c>
    </row>
    <row r="476">
      <c r="A476" s="8" t="s">
        <v>197</v>
      </c>
      <c r="B476" s="10">
        <v>3500.0</v>
      </c>
      <c r="C476" s="8" t="s">
        <v>329</v>
      </c>
      <c r="D476" s="8" t="s">
        <v>127</v>
      </c>
      <c r="E476" s="8" t="s">
        <v>330</v>
      </c>
      <c r="F476" s="8" t="s">
        <v>49</v>
      </c>
      <c r="G476" s="12"/>
      <c r="H476" s="10">
        <v>0.0</v>
      </c>
      <c r="I476" s="8" t="s">
        <v>56</v>
      </c>
    </row>
    <row r="477">
      <c r="A477" s="8" t="s">
        <v>197</v>
      </c>
      <c r="B477" s="10">
        <v>3500.0</v>
      </c>
      <c r="C477" s="8" t="s">
        <v>127</v>
      </c>
      <c r="D477" s="8" t="s">
        <v>53</v>
      </c>
      <c r="E477" s="8" t="s">
        <v>57</v>
      </c>
      <c r="F477" s="8" t="s">
        <v>29</v>
      </c>
      <c r="G477" s="12"/>
      <c r="H477" s="10">
        <v>0.0</v>
      </c>
      <c r="I477" s="12"/>
    </row>
    <row r="478">
      <c r="A478" s="8" t="s">
        <v>200</v>
      </c>
      <c r="B478" s="10">
        <v>6500.0</v>
      </c>
      <c r="C478" s="8" t="s">
        <v>25</v>
      </c>
      <c r="D478" s="8" t="s">
        <v>26</v>
      </c>
      <c r="E478" s="8" t="s">
        <v>27</v>
      </c>
      <c r="F478" s="8" t="s">
        <v>29</v>
      </c>
      <c r="G478" s="12"/>
      <c r="H478" s="10">
        <v>0.0</v>
      </c>
      <c r="I478" s="12"/>
    </row>
    <row r="479">
      <c r="A479" s="8" t="s">
        <v>200</v>
      </c>
      <c r="B479" s="10">
        <v>6500.0</v>
      </c>
      <c r="C479" s="8" t="s">
        <v>26</v>
      </c>
      <c r="D479" s="8" t="s">
        <v>329</v>
      </c>
      <c r="E479" s="8" t="s">
        <v>37</v>
      </c>
      <c r="F479" s="8" t="s">
        <v>38</v>
      </c>
      <c r="G479" s="10">
        <v>17735.0</v>
      </c>
      <c r="H479" s="10">
        <v>3000.0</v>
      </c>
      <c r="I479" s="12"/>
    </row>
    <row r="480">
      <c r="A480" s="8" t="s">
        <v>200</v>
      </c>
      <c r="B480" s="10">
        <v>6500.0</v>
      </c>
      <c r="C480" s="8" t="s">
        <v>329</v>
      </c>
      <c r="D480" s="8" t="s">
        <v>127</v>
      </c>
      <c r="E480" s="8" t="s">
        <v>330</v>
      </c>
      <c r="F480" s="8" t="s">
        <v>49</v>
      </c>
      <c r="G480" s="12"/>
      <c r="H480" s="10">
        <v>3500.0</v>
      </c>
      <c r="I480" s="8" t="s">
        <v>51</v>
      </c>
    </row>
    <row r="481">
      <c r="A481" s="8" t="s">
        <v>200</v>
      </c>
      <c r="B481" s="10">
        <v>6500.0</v>
      </c>
      <c r="C481" s="8" t="s">
        <v>127</v>
      </c>
      <c r="D481" s="8" t="s">
        <v>53</v>
      </c>
      <c r="E481" s="8" t="s">
        <v>57</v>
      </c>
      <c r="F481" s="8" t="s">
        <v>29</v>
      </c>
      <c r="G481" s="12"/>
      <c r="H481" s="10">
        <v>0.0</v>
      </c>
      <c r="I481" s="12"/>
    </row>
    <row r="482">
      <c r="A482" s="8" t="s">
        <v>205</v>
      </c>
      <c r="B482" s="10">
        <v>10000.0</v>
      </c>
      <c r="C482" s="8" t="s">
        <v>25</v>
      </c>
      <c r="D482" s="8" t="s">
        <v>60</v>
      </c>
      <c r="E482" s="8" t="s">
        <v>61</v>
      </c>
      <c r="F482" s="8" t="s">
        <v>49</v>
      </c>
      <c r="G482" s="12"/>
      <c r="H482" s="10">
        <v>3500.0</v>
      </c>
      <c r="I482" s="8" t="s">
        <v>51</v>
      </c>
    </row>
    <row r="483">
      <c r="A483" s="8" t="s">
        <v>205</v>
      </c>
      <c r="B483" s="10">
        <v>10000.0</v>
      </c>
      <c r="C483" s="8" t="s">
        <v>60</v>
      </c>
      <c r="D483" s="8" t="s">
        <v>108</v>
      </c>
      <c r="E483" s="8" t="s">
        <v>37</v>
      </c>
      <c r="F483" s="8" t="s">
        <v>38</v>
      </c>
      <c r="G483" s="10">
        <v>1552.0</v>
      </c>
      <c r="H483" s="10">
        <v>3000.0</v>
      </c>
      <c r="I483" s="12"/>
    </row>
    <row r="484">
      <c r="A484" s="8" t="s">
        <v>205</v>
      </c>
      <c r="B484" s="10">
        <v>10000.0</v>
      </c>
      <c r="C484" s="8" t="s">
        <v>108</v>
      </c>
      <c r="D484" s="8" t="s">
        <v>110</v>
      </c>
      <c r="E484" s="8" t="s">
        <v>40</v>
      </c>
      <c r="F484" s="8" t="s">
        <v>29</v>
      </c>
      <c r="G484" s="12"/>
      <c r="H484" s="10">
        <v>0.0</v>
      </c>
      <c r="I484" s="12"/>
    </row>
    <row r="485">
      <c r="A485" s="8" t="s">
        <v>205</v>
      </c>
      <c r="B485" s="10">
        <v>10000.0</v>
      </c>
      <c r="C485" s="8" t="s">
        <v>110</v>
      </c>
      <c r="D485" s="8" t="s">
        <v>112</v>
      </c>
      <c r="E485" s="8" t="s">
        <v>114</v>
      </c>
      <c r="F485" s="8" t="s">
        <v>49</v>
      </c>
      <c r="G485" s="12"/>
      <c r="H485" s="10">
        <v>3500.0</v>
      </c>
      <c r="I485" s="8" t="s">
        <v>51</v>
      </c>
    </row>
    <row r="486">
      <c r="A486" s="8" t="s">
        <v>205</v>
      </c>
      <c r="B486" s="10">
        <v>10000.0</v>
      </c>
      <c r="C486" s="8" t="s">
        <v>112</v>
      </c>
      <c r="D486" s="8" t="s">
        <v>115</v>
      </c>
      <c r="E486" s="8" t="s">
        <v>116</v>
      </c>
      <c r="F486" s="8" t="s">
        <v>49</v>
      </c>
      <c r="G486" s="12"/>
      <c r="H486" s="10">
        <v>0.0</v>
      </c>
      <c r="I486" s="8" t="s">
        <v>56</v>
      </c>
    </row>
    <row r="487">
      <c r="A487" s="8" t="s">
        <v>205</v>
      </c>
      <c r="B487" s="10">
        <v>10000.0</v>
      </c>
      <c r="C487" s="8" t="s">
        <v>115</v>
      </c>
      <c r="D487" s="8" t="s">
        <v>53</v>
      </c>
      <c r="E487" s="8" t="s">
        <v>57</v>
      </c>
      <c r="F487" s="8" t="s">
        <v>29</v>
      </c>
      <c r="G487" s="12"/>
      <c r="H487" s="10">
        <v>0.0</v>
      </c>
      <c r="I487"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3"/>
      <c r="D1" s="3"/>
      <c r="E1" s="3"/>
      <c r="F1" s="3"/>
      <c r="G1" s="3"/>
      <c r="H1" s="3"/>
      <c r="I1" s="3"/>
      <c r="J1" s="3"/>
      <c r="K1" s="3"/>
      <c r="L1" s="3"/>
      <c r="M1" s="3"/>
      <c r="N1" s="3"/>
      <c r="O1" s="3"/>
      <c r="P1" s="3"/>
      <c r="Q1" s="3"/>
      <c r="R1" s="3"/>
      <c r="S1" s="3"/>
      <c r="T1" s="3"/>
      <c r="U1" s="3"/>
      <c r="V1" s="3"/>
      <c r="W1" s="3"/>
      <c r="X1" s="3"/>
      <c r="Y1" s="3"/>
      <c r="Z1" s="3"/>
    </row>
    <row r="2">
      <c r="A2" s="7" t="s">
        <v>7</v>
      </c>
      <c r="B2" s="7" t="s">
        <v>222</v>
      </c>
      <c r="C2" s="3"/>
      <c r="D2" s="3"/>
      <c r="E2" s="3"/>
      <c r="F2" s="3"/>
      <c r="G2" s="3"/>
      <c r="H2" s="3"/>
      <c r="I2" s="3"/>
      <c r="J2" s="3"/>
      <c r="K2" s="3"/>
      <c r="L2" s="3"/>
      <c r="M2" s="3"/>
      <c r="N2" s="3"/>
      <c r="O2" s="3"/>
      <c r="P2" s="3"/>
      <c r="Q2" s="3"/>
      <c r="R2" s="3"/>
      <c r="S2" s="3"/>
      <c r="T2" s="3"/>
      <c r="U2" s="3"/>
      <c r="V2" s="3"/>
      <c r="W2" s="3"/>
      <c r="X2" s="3"/>
      <c r="Y2" s="3"/>
      <c r="Z2" s="3"/>
    </row>
    <row r="3">
      <c r="A3" s="1" t="s">
        <v>16</v>
      </c>
      <c r="B3" s="1" t="s">
        <v>18</v>
      </c>
      <c r="C3" s="3"/>
      <c r="D3" s="3"/>
      <c r="E3" s="3"/>
      <c r="F3" s="3"/>
      <c r="G3" s="3"/>
      <c r="H3" s="3"/>
      <c r="I3" s="3"/>
      <c r="J3" s="3"/>
      <c r="K3" s="3"/>
      <c r="L3" s="3"/>
      <c r="M3" s="3"/>
      <c r="N3" s="3"/>
      <c r="O3" s="3"/>
      <c r="P3" s="3"/>
      <c r="Q3" s="3"/>
      <c r="R3" s="3"/>
      <c r="S3" s="3"/>
      <c r="T3" s="3"/>
      <c r="U3" s="3"/>
      <c r="V3" s="3"/>
      <c r="W3" s="3"/>
      <c r="X3" s="3"/>
      <c r="Y3" s="3"/>
      <c r="Z3" s="3"/>
    </row>
    <row r="4">
      <c r="A4" s="7" t="s">
        <v>226</v>
      </c>
      <c r="B4" s="7" t="s">
        <v>227</v>
      </c>
      <c r="C4" s="3"/>
      <c r="D4" s="3"/>
      <c r="E4" s="3"/>
      <c r="F4" s="3"/>
      <c r="G4" s="3"/>
      <c r="H4" s="3"/>
      <c r="I4" s="3"/>
      <c r="J4" s="3"/>
      <c r="K4" s="3"/>
      <c r="L4" s="3"/>
      <c r="M4" s="3"/>
      <c r="N4" s="3"/>
      <c r="O4" s="3"/>
      <c r="P4" s="3"/>
      <c r="Q4" s="3"/>
      <c r="R4" s="3"/>
      <c r="S4" s="3"/>
      <c r="T4" s="3"/>
      <c r="U4" s="3"/>
      <c r="V4" s="3"/>
      <c r="W4" s="3"/>
      <c r="X4" s="3"/>
      <c r="Y4" s="3"/>
      <c r="Z4" s="3"/>
    </row>
    <row r="5">
      <c r="A5" s="1" t="s">
        <v>23</v>
      </c>
      <c r="B5" s="1" t="s">
        <v>24</v>
      </c>
      <c r="C5" s="3"/>
      <c r="D5" s="3"/>
      <c r="E5" s="3"/>
      <c r="F5" s="3"/>
      <c r="G5" s="3"/>
      <c r="H5" s="3"/>
      <c r="I5" s="3"/>
      <c r="J5" s="3"/>
      <c r="K5" s="3"/>
      <c r="L5" s="3"/>
      <c r="M5" s="3"/>
      <c r="N5" s="3"/>
      <c r="O5" s="3"/>
      <c r="P5" s="3"/>
      <c r="Q5" s="3"/>
      <c r="R5" s="3"/>
      <c r="S5" s="3"/>
      <c r="T5" s="3"/>
      <c r="U5" s="3"/>
      <c r="V5" s="3"/>
      <c r="W5" s="3"/>
      <c r="X5" s="3"/>
      <c r="Y5" s="3"/>
      <c r="Z5" s="3"/>
    </row>
    <row r="6">
      <c r="A6" s="7" t="s">
        <v>229</v>
      </c>
      <c r="B6" s="7" t="s">
        <v>230</v>
      </c>
      <c r="C6" s="3"/>
      <c r="D6" s="3"/>
      <c r="E6" s="3"/>
      <c r="F6" s="3"/>
      <c r="G6" s="3"/>
      <c r="H6" s="3"/>
      <c r="I6" s="3"/>
      <c r="J6" s="3"/>
      <c r="K6" s="3"/>
      <c r="L6" s="3"/>
      <c r="M6" s="3"/>
      <c r="N6" s="3"/>
      <c r="O6" s="3"/>
      <c r="P6" s="3"/>
      <c r="Q6" s="3"/>
      <c r="R6" s="3"/>
      <c r="S6" s="3"/>
      <c r="T6" s="3"/>
      <c r="U6" s="3"/>
      <c r="V6" s="3"/>
      <c r="W6" s="3"/>
      <c r="X6" s="3"/>
      <c r="Y6" s="3"/>
      <c r="Z6" s="3"/>
    </row>
    <row r="7">
      <c r="A7" s="1" t="s">
        <v>28</v>
      </c>
      <c r="B7" s="1" t="s">
        <v>30</v>
      </c>
      <c r="C7" s="3"/>
      <c r="D7" s="3"/>
      <c r="E7" s="3"/>
      <c r="F7" s="3"/>
      <c r="G7" s="3"/>
      <c r="H7" s="3"/>
      <c r="I7" s="3"/>
      <c r="J7" s="3"/>
      <c r="K7" s="3"/>
      <c r="L7" s="3"/>
      <c r="M7" s="3"/>
      <c r="N7" s="3"/>
      <c r="O7" s="3"/>
      <c r="P7" s="3"/>
      <c r="Q7" s="3"/>
      <c r="R7" s="3"/>
      <c r="S7" s="3"/>
      <c r="T7" s="3"/>
      <c r="U7" s="3"/>
      <c r="V7" s="3"/>
      <c r="W7" s="3"/>
      <c r="X7" s="3"/>
      <c r="Y7" s="3"/>
      <c r="Z7" s="3"/>
    </row>
    <row r="8">
      <c r="A8" s="1" t="s">
        <v>31</v>
      </c>
      <c r="B8" s="1" t="s">
        <v>231</v>
      </c>
      <c r="C8" s="3"/>
      <c r="D8" s="3"/>
      <c r="E8" s="3"/>
      <c r="F8" s="3"/>
      <c r="G8" s="3"/>
      <c r="H8" s="3"/>
      <c r="I8" s="3"/>
      <c r="J8" s="3"/>
      <c r="K8" s="3"/>
      <c r="L8" s="3"/>
      <c r="M8" s="3"/>
      <c r="N8" s="3"/>
      <c r="O8" s="3"/>
      <c r="P8" s="3"/>
      <c r="Q8" s="3"/>
      <c r="R8" s="3"/>
      <c r="S8" s="3"/>
      <c r="T8" s="3"/>
      <c r="U8" s="3"/>
      <c r="V8" s="3"/>
      <c r="W8" s="3"/>
      <c r="X8" s="3"/>
      <c r="Y8" s="3"/>
      <c r="Z8" s="3"/>
    </row>
    <row r="9">
      <c r="A9" s="1" t="s">
        <v>34</v>
      </c>
      <c r="B9" s="1" t="s">
        <v>35</v>
      </c>
      <c r="C9" s="3"/>
      <c r="D9" s="3"/>
      <c r="E9" s="3"/>
      <c r="F9" s="3"/>
      <c r="G9" s="3"/>
      <c r="H9" s="3"/>
      <c r="I9" s="3"/>
      <c r="J9" s="3"/>
      <c r="K9" s="3"/>
      <c r="L9" s="3"/>
      <c r="M9" s="3"/>
      <c r="N9" s="3"/>
      <c r="O9" s="3"/>
      <c r="P9" s="3"/>
      <c r="Q9" s="3"/>
      <c r="R9" s="3"/>
      <c r="S9" s="3"/>
      <c r="T9" s="3"/>
      <c r="U9" s="3"/>
      <c r="V9" s="3"/>
      <c r="W9" s="3"/>
      <c r="X9" s="3"/>
      <c r="Y9" s="3"/>
      <c r="Z9" s="3"/>
    </row>
    <row r="10">
      <c r="A10" s="7" t="s">
        <v>109</v>
      </c>
      <c r="B10" s="7" t="s">
        <v>232</v>
      </c>
      <c r="C10" s="3"/>
      <c r="D10" s="3"/>
      <c r="E10" s="3"/>
      <c r="F10" s="3"/>
      <c r="G10" s="3"/>
      <c r="H10" s="3"/>
      <c r="I10" s="3"/>
      <c r="J10" s="3"/>
      <c r="K10" s="3"/>
      <c r="L10" s="3"/>
      <c r="M10" s="3"/>
      <c r="N10" s="3"/>
      <c r="O10" s="3"/>
      <c r="P10" s="3"/>
      <c r="Q10" s="3"/>
      <c r="R10" s="3"/>
      <c r="S10" s="3"/>
      <c r="T10" s="3"/>
      <c r="U10" s="3"/>
      <c r="V10" s="3"/>
      <c r="W10" s="3"/>
      <c r="X10" s="3"/>
      <c r="Y10" s="3"/>
      <c r="Z10" s="3"/>
    </row>
    <row r="11">
      <c r="A11" s="7" t="s">
        <v>233</v>
      </c>
      <c r="B11" s="7" t="s">
        <v>234</v>
      </c>
      <c r="C11" s="3"/>
      <c r="D11" s="3"/>
      <c r="E11" s="3"/>
      <c r="F11" s="3"/>
      <c r="G11" s="3"/>
      <c r="H11" s="3"/>
      <c r="I11" s="3"/>
      <c r="J11" s="3"/>
      <c r="K11" s="3"/>
      <c r="L11" s="3"/>
      <c r="M11" s="3"/>
      <c r="N11" s="3"/>
      <c r="O11" s="3"/>
      <c r="P11" s="3"/>
      <c r="Q11" s="3"/>
      <c r="R11" s="3"/>
      <c r="S11" s="3"/>
      <c r="T11" s="3"/>
      <c r="U11" s="3"/>
      <c r="V11" s="3"/>
      <c r="W11" s="3"/>
      <c r="X11" s="3"/>
      <c r="Y11" s="3"/>
      <c r="Z11" s="3"/>
    </row>
    <row r="12">
      <c r="A12" s="1" t="s">
        <v>41</v>
      </c>
      <c r="B12" s="1" t="s">
        <v>42</v>
      </c>
      <c r="C12" s="3"/>
      <c r="D12" s="3"/>
      <c r="E12" s="3"/>
      <c r="F12" s="3"/>
      <c r="G12" s="3"/>
      <c r="H12" s="3"/>
      <c r="I12" s="3"/>
      <c r="J12" s="3"/>
      <c r="K12" s="3"/>
      <c r="L12" s="3"/>
      <c r="M12" s="3"/>
      <c r="N12" s="3"/>
      <c r="O12" s="3"/>
      <c r="P12" s="3"/>
      <c r="Q12" s="3"/>
      <c r="R12" s="3"/>
      <c r="S12" s="3"/>
      <c r="T12" s="3"/>
      <c r="U12" s="3"/>
      <c r="V12" s="3"/>
      <c r="W12" s="3"/>
      <c r="X12" s="3"/>
      <c r="Y12" s="3"/>
      <c r="Z12" s="3"/>
    </row>
    <row r="13">
      <c r="A13" s="1" t="s">
        <v>235</v>
      </c>
      <c r="B13" s="1" t="s">
        <v>236</v>
      </c>
      <c r="C13" s="3"/>
      <c r="D13" s="3"/>
      <c r="E13" s="3"/>
      <c r="F13" s="3"/>
      <c r="G13" s="3"/>
      <c r="H13" s="3"/>
      <c r="I13" s="3"/>
      <c r="J13" s="3"/>
      <c r="K13" s="3"/>
      <c r="L13" s="3"/>
      <c r="M13" s="3"/>
      <c r="N13" s="3"/>
      <c r="O13" s="3"/>
      <c r="P13" s="3"/>
      <c r="Q13" s="3"/>
      <c r="R13" s="3"/>
      <c r="S13" s="3"/>
      <c r="T13" s="3"/>
      <c r="U13" s="3"/>
      <c r="V13" s="3"/>
      <c r="W13" s="3"/>
      <c r="X13" s="3"/>
      <c r="Y13" s="3"/>
      <c r="Z13" s="3"/>
    </row>
    <row r="14">
      <c r="A14" s="1" t="s">
        <v>48</v>
      </c>
      <c r="B14" s="1" t="s">
        <v>50</v>
      </c>
      <c r="C14" s="3"/>
      <c r="D14" s="3"/>
      <c r="E14" s="3"/>
      <c r="F14" s="3"/>
      <c r="G14" s="3"/>
      <c r="H14" s="3"/>
      <c r="I14" s="3"/>
      <c r="J14" s="3"/>
      <c r="K14" s="3"/>
      <c r="L14" s="3"/>
      <c r="M14" s="3"/>
      <c r="N14" s="3"/>
      <c r="O14" s="3"/>
      <c r="P14" s="3"/>
      <c r="Q14" s="3"/>
      <c r="R14" s="3"/>
      <c r="S14" s="3"/>
      <c r="T14" s="3"/>
      <c r="U14" s="3"/>
      <c r="V14" s="3"/>
      <c r="W14" s="3"/>
      <c r="X14" s="3"/>
      <c r="Y14" s="3"/>
      <c r="Z14" s="3"/>
    </row>
    <row r="15">
      <c r="A15" s="1" t="s">
        <v>237</v>
      </c>
      <c r="B15" s="1" t="s">
        <v>238</v>
      </c>
      <c r="C15" s="3"/>
      <c r="D15" s="3"/>
      <c r="E15" s="3"/>
      <c r="F15" s="3"/>
      <c r="G15" s="3"/>
      <c r="H15" s="3"/>
      <c r="I15" s="3"/>
      <c r="J15" s="3"/>
      <c r="K15" s="3"/>
      <c r="L15" s="3"/>
      <c r="M15" s="3"/>
      <c r="N15" s="3"/>
      <c r="O15" s="3"/>
      <c r="P15" s="3"/>
      <c r="Q15" s="3"/>
      <c r="R15" s="3"/>
      <c r="S15" s="3"/>
      <c r="T15" s="3"/>
      <c r="U15" s="3"/>
      <c r="V15" s="3"/>
      <c r="W15" s="3"/>
      <c r="X15" s="3"/>
      <c r="Y15" s="3"/>
      <c r="Z15" s="3"/>
    </row>
    <row r="16">
      <c r="A16" s="1" t="s">
        <v>54</v>
      </c>
      <c r="B16" s="1" t="s">
        <v>55</v>
      </c>
      <c r="C16" s="3"/>
      <c r="D16" s="3"/>
      <c r="E16" s="3"/>
      <c r="F16" s="3"/>
      <c r="G16" s="3"/>
      <c r="H16" s="3"/>
      <c r="I16" s="3"/>
      <c r="J16" s="3"/>
      <c r="K16" s="3"/>
      <c r="L16" s="3"/>
      <c r="M16" s="3"/>
      <c r="N16" s="3"/>
      <c r="O16" s="3"/>
      <c r="P16" s="3"/>
      <c r="Q16" s="3"/>
      <c r="R16" s="3"/>
      <c r="S16" s="3"/>
      <c r="T16" s="3"/>
      <c r="U16" s="3"/>
      <c r="V16" s="3"/>
      <c r="W16" s="3"/>
      <c r="X16" s="3"/>
      <c r="Y16" s="3"/>
      <c r="Z16" s="3"/>
    </row>
    <row r="17">
      <c r="A17" s="1" t="s">
        <v>58</v>
      </c>
      <c r="B17" s="1" t="s">
        <v>59</v>
      </c>
      <c r="C17" s="3"/>
      <c r="D17" s="3"/>
      <c r="E17" s="3"/>
      <c r="F17" s="3"/>
      <c r="G17" s="3"/>
      <c r="H17" s="3"/>
      <c r="I17" s="3"/>
      <c r="J17" s="3"/>
      <c r="K17" s="3"/>
      <c r="L17" s="3"/>
      <c r="M17" s="3"/>
      <c r="N17" s="3"/>
      <c r="O17" s="3"/>
      <c r="P17" s="3"/>
      <c r="Q17" s="3"/>
      <c r="R17" s="3"/>
      <c r="S17" s="3"/>
      <c r="T17" s="3"/>
      <c r="U17" s="3"/>
      <c r="V17" s="3"/>
      <c r="W17" s="3"/>
      <c r="X17" s="3"/>
      <c r="Y17" s="3"/>
      <c r="Z17" s="3"/>
    </row>
    <row r="18">
      <c r="A18" s="1" t="s">
        <v>123</v>
      </c>
      <c r="B18" s="1" t="s">
        <v>239</v>
      </c>
      <c r="C18" s="3"/>
      <c r="D18" s="3"/>
      <c r="E18" s="3"/>
      <c r="F18" s="3"/>
      <c r="G18" s="3"/>
      <c r="H18" s="3"/>
      <c r="I18" s="3"/>
      <c r="J18" s="3"/>
      <c r="K18" s="3"/>
      <c r="L18" s="3"/>
      <c r="M18" s="3"/>
      <c r="N18" s="3"/>
      <c r="O18" s="3"/>
      <c r="P18" s="3"/>
      <c r="Q18" s="3"/>
      <c r="R18" s="3"/>
      <c r="S18" s="3"/>
      <c r="T18" s="3"/>
      <c r="U18" s="3"/>
      <c r="V18" s="3"/>
      <c r="W18" s="3"/>
      <c r="X18" s="3"/>
      <c r="Y18" s="3"/>
      <c r="Z18" s="3"/>
    </row>
    <row r="19">
      <c r="A19" s="1" t="s">
        <v>62</v>
      </c>
      <c r="B19" s="1" t="s">
        <v>240</v>
      </c>
      <c r="C19" s="3"/>
      <c r="D19" s="3"/>
      <c r="E19" s="3"/>
      <c r="F19" s="3"/>
      <c r="G19" s="3"/>
      <c r="H19" s="3"/>
      <c r="I19" s="3"/>
      <c r="J19" s="3"/>
      <c r="K19" s="3"/>
      <c r="L19" s="3"/>
      <c r="M19" s="3"/>
      <c r="N19" s="3"/>
      <c r="O19" s="3"/>
      <c r="P19" s="3"/>
      <c r="Q19" s="3"/>
      <c r="R19" s="3"/>
      <c r="S19" s="3"/>
      <c r="T19" s="3"/>
      <c r="U19" s="3"/>
      <c r="V19" s="3"/>
      <c r="W19" s="3"/>
      <c r="X19" s="3"/>
      <c r="Y19" s="3"/>
      <c r="Z19" s="3"/>
    </row>
    <row r="20">
      <c r="A20" s="1" t="s">
        <v>67</v>
      </c>
      <c r="B20" s="1" t="s">
        <v>241</v>
      </c>
      <c r="C20" s="3"/>
      <c r="D20" s="3"/>
      <c r="E20" s="3"/>
      <c r="F20" s="3"/>
      <c r="G20" s="3"/>
      <c r="H20" s="3"/>
      <c r="I20" s="3"/>
      <c r="J20" s="3"/>
      <c r="K20" s="3"/>
      <c r="L20" s="3"/>
      <c r="M20" s="3"/>
      <c r="N20" s="3"/>
      <c r="O20" s="3"/>
      <c r="P20" s="3"/>
      <c r="Q20" s="3"/>
      <c r="R20" s="3"/>
      <c r="S20" s="3"/>
      <c r="T20" s="3"/>
      <c r="U20" s="3"/>
      <c r="V20" s="3"/>
      <c r="W20" s="3"/>
      <c r="X20" s="3"/>
      <c r="Y20" s="3"/>
      <c r="Z20" s="3"/>
    </row>
    <row r="21">
      <c r="A21" s="1" t="s">
        <v>70</v>
      </c>
      <c r="B21" s="1" t="s">
        <v>242</v>
      </c>
      <c r="C21" s="3"/>
      <c r="D21" s="3"/>
      <c r="E21" s="3"/>
      <c r="F21" s="3"/>
      <c r="G21" s="3"/>
      <c r="H21" s="3"/>
      <c r="I21" s="3"/>
      <c r="J21" s="3"/>
      <c r="K21" s="3"/>
      <c r="L21" s="3"/>
      <c r="M21" s="3"/>
      <c r="N21" s="3"/>
      <c r="O21" s="3"/>
      <c r="P21" s="3"/>
      <c r="Q21" s="3"/>
      <c r="R21" s="3"/>
      <c r="S21" s="3"/>
      <c r="T21" s="3"/>
      <c r="U21" s="3"/>
      <c r="V21" s="3"/>
      <c r="W21" s="3"/>
      <c r="X21" s="3"/>
      <c r="Y21" s="3"/>
      <c r="Z21" s="3"/>
    </row>
    <row r="22">
      <c r="A22" s="1" t="s">
        <v>74</v>
      </c>
      <c r="B22" s="1" t="s">
        <v>243</v>
      </c>
      <c r="C22" s="3"/>
      <c r="D22" s="3"/>
      <c r="E22" s="3"/>
      <c r="F22" s="3"/>
      <c r="G22" s="3"/>
      <c r="H22" s="3"/>
      <c r="I22" s="3"/>
      <c r="J22" s="3"/>
      <c r="K22" s="3"/>
      <c r="L22" s="3"/>
      <c r="M22" s="3"/>
      <c r="N22" s="3"/>
      <c r="O22" s="3"/>
      <c r="P22" s="3"/>
      <c r="Q22" s="3"/>
      <c r="R22" s="3"/>
      <c r="S22" s="3"/>
      <c r="T22" s="3"/>
      <c r="U22" s="3"/>
      <c r="V22" s="3"/>
      <c r="W22" s="3"/>
      <c r="X22" s="3"/>
      <c r="Y22" s="3"/>
      <c r="Z22" s="3"/>
    </row>
    <row r="23">
      <c r="A23" s="1" t="s">
        <v>76</v>
      </c>
      <c r="B23" s="1" t="s">
        <v>77</v>
      </c>
      <c r="C23" s="3"/>
      <c r="D23" s="3"/>
      <c r="E23" s="3"/>
      <c r="F23" s="3"/>
      <c r="G23" s="3"/>
      <c r="H23" s="3"/>
      <c r="I23" s="3"/>
      <c r="J23" s="3"/>
      <c r="K23" s="3"/>
      <c r="L23" s="3"/>
      <c r="M23" s="3"/>
      <c r="N23" s="3"/>
      <c r="O23" s="3"/>
      <c r="P23" s="3"/>
      <c r="Q23" s="3"/>
      <c r="R23" s="3"/>
      <c r="S23" s="3"/>
      <c r="T23" s="3"/>
      <c r="U23" s="3"/>
      <c r="V23" s="3"/>
      <c r="W23" s="3"/>
      <c r="X23" s="3"/>
      <c r="Y23" s="3"/>
      <c r="Z23" s="3"/>
    </row>
    <row r="24">
      <c r="A24" s="1" t="s">
        <v>78</v>
      </c>
      <c r="B24" s="1" t="s">
        <v>244</v>
      </c>
      <c r="C24" s="3"/>
      <c r="D24" s="3"/>
      <c r="E24" s="3"/>
      <c r="F24" s="3"/>
      <c r="G24" s="3"/>
      <c r="H24" s="3"/>
      <c r="I24" s="3"/>
      <c r="J24" s="3"/>
      <c r="K24" s="3"/>
      <c r="L24" s="3"/>
      <c r="M24" s="3"/>
      <c r="N24" s="3"/>
      <c r="O24" s="3"/>
      <c r="P24" s="3"/>
      <c r="Q24" s="3"/>
      <c r="R24" s="3"/>
      <c r="S24" s="3"/>
      <c r="T24" s="3"/>
      <c r="U24" s="3"/>
      <c r="V24" s="3"/>
      <c r="W24" s="3"/>
      <c r="X24" s="3"/>
      <c r="Y24" s="3"/>
      <c r="Z24" s="3"/>
    </row>
    <row r="25">
      <c r="A25" s="1" t="s">
        <v>81</v>
      </c>
      <c r="B25" s="1" t="s">
        <v>245</v>
      </c>
      <c r="C25" s="3"/>
      <c r="D25" s="3"/>
      <c r="E25" s="3"/>
      <c r="F25" s="3"/>
      <c r="G25" s="3"/>
      <c r="H25" s="3"/>
      <c r="I25" s="3"/>
      <c r="J25" s="3"/>
      <c r="K25" s="3"/>
      <c r="L25" s="3"/>
      <c r="M25" s="3"/>
      <c r="N25" s="3"/>
      <c r="O25" s="3"/>
      <c r="P25" s="3"/>
      <c r="Q25" s="3"/>
      <c r="R25" s="3"/>
      <c r="S25" s="3"/>
      <c r="T25" s="3"/>
      <c r="U25" s="3"/>
      <c r="V25" s="3"/>
      <c r="W25" s="3"/>
      <c r="X25" s="3"/>
      <c r="Y25" s="3"/>
      <c r="Z25" s="3"/>
    </row>
    <row r="26">
      <c r="A26" s="1" t="s">
        <v>83</v>
      </c>
      <c r="B26" s="1" t="s">
        <v>84</v>
      </c>
      <c r="C26" s="3"/>
      <c r="D26" s="3"/>
      <c r="E26" s="3"/>
      <c r="F26" s="3"/>
      <c r="G26" s="3"/>
      <c r="H26" s="3"/>
      <c r="I26" s="3"/>
      <c r="J26" s="3"/>
      <c r="K26" s="3"/>
      <c r="L26" s="3"/>
      <c r="M26" s="3"/>
      <c r="N26" s="3"/>
      <c r="O26" s="3"/>
      <c r="P26" s="3"/>
      <c r="Q26" s="3"/>
      <c r="R26" s="3"/>
      <c r="S26" s="3"/>
      <c r="T26" s="3"/>
      <c r="U26" s="3"/>
      <c r="V26" s="3"/>
      <c r="W26" s="3"/>
      <c r="X26" s="3"/>
      <c r="Y26" s="3"/>
      <c r="Z26" s="3"/>
    </row>
    <row r="27">
      <c r="A27" s="1" t="s">
        <v>85</v>
      </c>
      <c r="B27" s="1" t="s">
        <v>86</v>
      </c>
      <c r="C27" s="3"/>
      <c r="D27" s="3"/>
      <c r="E27" s="3"/>
      <c r="F27" s="3"/>
      <c r="G27" s="3"/>
      <c r="H27" s="3"/>
      <c r="I27" s="3"/>
      <c r="J27" s="3"/>
      <c r="K27" s="3"/>
      <c r="L27" s="3"/>
      <c r="M27" s="3"/>
      <c r="N27" s="3"/>
      <c r="O27" s="3"/>
      <c r="P27" s="3"/>
      <c r="Q27" s="3"/>
      <c r="R27" s="3"/>
      <c r="S27" s="3"/>
      <c r="T27" s="3"/>
      <c r="U27" s="3"/>
      <c r="V27" s="3"/>
      <c r="W27" s="3"/>
      <c r="X27" s="3"/>
      <c r="Y27" s="3"/>
      <c r="Z27" s="3"/>
    </row>
    <row r="28">
      <c r="A28" s="1" t="s">
        <v>88</v>
      </c>
      <c r="B28" s="1" t="s">
        <v>246</v>
      </c>
      <c r="C28" s="3"/>
      <c r="D28" s="3"/>
      <c r="E28" s="3"/>
      <c r="F28" s="3"/>
      <c r="G28" s="3"/>
      <c r="H28" s="3"/>
      <c r="I28" s="3"/>
      <c r="J28" s="3"/>
      <c r="K28" s="3"/>
      <c r="L28" s="3"/>
      <c r="M28" s="3"/>
      <c r="N28" s="3"/>
      <c r="O28" s="3"/>
      <c r="P28" s="3"/>
      <c r="Q28" s="3"/>
      <c r="R28" s="3"/>
      <c r="S28" s="3"/>
      <c r="T28" s="3"/>
      <c r="U28" s="3"/>
      <c r="V28" s="3"/>
      <c r="W28" s="3"/>
      <c r="X28" s="3"/>
      <c r="Y28" s="3"/>
      <c r="Z28" s="3"/>
    </row>
    <row r="29">
      <c r="A29" s="1" t="s">
        <v>90</v>
      </c>
      <c r="B29" s="1" t="s">
        <v>91</v>
      </c>
      <c r="C29" s="3"/>
      <c r="D29" s="3"/>
      <c r="E29" s="3"/>
      <c r="F29" s="3"/>
      <c r="G29" s="3"/>
      <c r="H29" s="3"/>
      <c r="I29" s="3"/>
      <c r="J29" s="3"/>
      <c r="K29" s="3"/>
      <c r="L29" s="3"/>
      <c r="M29" s="3"/>
      <c r="N29" s="3"/>
      <c r="O29" s="3"/>
      <c r="P29" s="3"/>
      <c r="Q29" s="3"/>
      <c r="R29" s="3"/>
      <c r="S29" s="3"/>
      <c r="T29" s="3"/>
      <c r="U29" s="3"/>
      <c r="V29" s="3"/>
      <c r="W29" s="3"/>
      <c r="X29" s="3"/>
      <c r="Y29" s="3"/>
      <c r="Z29" s="3"/>
    </row>
    <row r="30">
      <c r="A30" s="1" t="s">
        <v>92</v>
      </c>
      <c r="B30" s="1" t="s">
        <v>93</v>
      </c>
      <c r="C30" s="3"/>
      <c r="D30" s="3"/>
      <c r="E30" s="3"/>
      <c r="F30" s="3"/>
      <c r="G30" s="3"/>
      <c r="H30" s="3"/>
      <c r="I30" s="3"/>
      <c r="J30" s="3"/>
      <c r="K30" s="3"/>
      <c r="L30" s="3"/>
      <c r="M30" s="3"/>
      <c r="N30" s="3"/>
      <c r="O30" s="3"/>
      <c r="P30" s="3"/>
      <c r="Q30" s="3"/>
      <c r="R30" s="3"/>
      <c r="S30" s="3"/>
      <c r="T30" s="3"/>
      <c r="U30" s="3"/>
      <c r="V30" s="3"/>
      <c r="W30" s="3"/>
      <c r="X30" s="3"/>
      <c r="Y30" s="3"/>
      <c r="Z30" s="3"/>
    </row>
    <row r="31">
      <c r="A31" s="1" t="s">
        <v>96</v>
      </c>
      <c r="B31" s="1" t="s">
        <v>97</v>
      </c>
      <c r="C31" s="3"/>
      <c r="D31" s="3"/>
      <c r="E31" s="3"/>
      <c r="F31" s="3"/>
      <c r="G31" s="3"/>
      <c r="H31" s="3"/>
      <c r="I31" s="3"/>
      <c r="J31" s="3"/>
      <c r="K31" s="3"/>
      <c r="L31" s="3"/>
      <c r="M31" s="3"/>
      <c r="N31" s="3"/>
      <c r="O31" s="3"/>
      <c r="P31" s="3"/>
      <c r="Q31" s="3"/>
      <c r="R31" s="3"/>
      <c r="S31" s="3"/>
      <c r="T31" s="3"/>
      <c r="U31" s="3"/>
      <c r="V31" s="3"/>
      <c r="W31" s="3"/>
      <c r="X31" s="3"/>
      <c r="Y31" s="3"/>
      <c r="Z31" s="3"/>
    </row>
    <row r="32">
      <c r="A32" s="1" t="s">
        <v>99</v>
      </c>
      <c r="B32" s="1" t="s">
        <v>247</v>
      </c>
      <c r="C32" s="3"/>
      <c r="D32" s="3"/>
      <c r="E32" s="3"/>
      <c r="F32" s="3"/>
      <c r="G32" s="3"/>
      <c r="H32" s="3"/>
      <c r="I32" s="3"/>
      <c r="J32" s="3"/>
      <c r="K32" s="3"/>
      <c r="L32" s="3"/>
      <c r="M32" s="3"/>
      <c r="N32" s="3"/>
      <c r="O32" s="3"/>
      <c r="P32" s="3"/>
      <c r="Q32" s="3"/>
      <c r="R32" s="3"/>
      <c r="S32" s="3"/>
      <c r="T32" s="3"/>
      <c r="U32" s="3"/>
      <c r="V32" s="3"/>
      <c r="W32" s="3"/>
      <c r="X32" s="3"/>
      <c r="Y32" s="3"/>
      <c r="Z32" s="3"/>
    </row>
    <row r="33">
      <c r="A33" s="1" t="s">
        <v>102</v>
      </c>
      <c r="B33" s="1" t="s">
        <v>103</v>
      </c>
      <c r="C33" s="3"/>
      <c r="D33" s="3"/>
      <c r="E33" s="3"/>
      <c r="F33" s="3"/>
      <c r="G33" s="3"/>
      <c r="H33" s="3"/>
      <c r="I33" s="3"/>
      <c r="J33" s="3"/>
      <c r="K33" s="3"/>
      <c r="L33" s="3"/>
      <c r="M33" s="3"/>
      <c r="N33" s="3"/>
      <c r="O33" s="3"/>
      <c r="P33" s="3"/>
      <c r="Q33" s="3"/>
      <c r="R33" s="3"/>
      <c r="S33" s="3"/>
      <c r="T33" s="3"/>
      <c r="U33" s="3"/>
      <c r="V33" s="3"/>
      <c r="W33" s="3"/>
      <c r="X33" s="3"/>
      <c r="Y33" s="3"/>
      <c r="Z33" s="3"/>
    </row>
    <row r="34">
      <c r="A34" s="7" t="s">
        <v>104</v>
      </c>
      <c r="B34" s="7" t="s">
        <v>248</v>
      </c>
      <c r="C34" s="3"/>
      <c r="D34" s="3"/>
      <c r="E34" s="3"/>
      <c r="F34" s="3"/>
      <c r="G34" s="3"/>
      <c r="H34" s="3"/>
      <c r="I34" s="3"/>
      <c r="J34" s="3"/>
      <c r="K34" s="3"/>
      <c r="L34" s="3"/>
      <c r="M34" s="3"/>
      <c r="N34" s="3"/>
      <c r="O34" s="3"/>
      <c r="P34" s="3"/>
      <c r="Q34" s="3"/>
      <c r="R34" s="3"/>
      <c r="S34" s="3"/>
      <c r="T34" s="3"/>
      <c r="U34" s="3"/>
      <c r="V34" s="3"/>
      <c r="W34" s="3"/>
      <c r="X34" s="3"/>
      <c r="Y34" s="3"/>
      <c r="Z34" s="3"/>
    </row>
    <row r="35">
      <c r="A35" s="1" t="s">
        <v>106</v>
      </c>
      <c r="B35" s="1" t="s">
        <v>107</v>
      </c>
      <c r="C35" s="3"/>
      <c r="D35" s="3"/>
      <c r="E35" s="3"/>
      <c r="F35" s="3"/>
      <c r="G35" s="3"/>
      <c r="H35" s="3"/>
      <c r="I35" s="3"/>
      <c r="J35" s="3"/>
      <c r="K35" s="3"/>
      <c r="L35" s="3"/>
      <c r="M35" s="3"/>
      <c r="N35" s="3"/>
      <c r="O35" s="3"/>
      <c r="P35" s="3"/>
      <c r="Q35" s="3"/>
      <c r="R35" s="3"/>
      <c r="S35" s="3"/>
      <c r="T35" s="3"/>
      <c r="U35" s="3"/>
      <c r="V35" s="3"/>
      <c r="W35" s="3"/>
      <c r="X35" s="3"/>
      <c r="Y35" s="3"/>
      <c r="Z35" s="3"/>
    </row>
    <row r="36">
      <c r="A36" s="1" t="s">
        <v>249</v>
      </c>
      <c r="B36" s="1" t="s">
        <v>250</v>
      </c>
      <c r="C36" s="3"/>
      <c r="D36" s="3"/>
      <c r="E36" s="3"/>
      <c r="F36" s="3"/>
      <c r="G36" s="3"/>
      <c r="H36" s="3"/>
      <c r="I36" s="3"/>
      <c r="J36" s="3"/>
      <c r="K36" s="3"/>
      <c r="L36" s="3"/>
      <c r="M36" s="3"/>
      <c r="N36" s="3"/>
      <c r="O36" s="3"/>
      <c r="P36" s="3"/>
      <c r="Q36" s="3"/>
      <c r="R36" s="3"/>
      <c r="S36" s="3"/>
      <c r="T36" s="3"/>
      <c r="U36" s="3"/>
      <c r="V36" s="3"/>
      <c r="W36" s="3"/>
      <c r="X36" s="3"/>
      <c r="Y36" s="3"/>
      <c r="Z36" s="3"/>
    </row>
    <row r="37">
      <c r="A37" s="1" t="s">
        <v>111</v>
      </c>
      <c r="B37" s="1" t="s">
        <v>113</v>
      </c>
      <c r="C37" s="3"/>
      <c r="D37" s="3"/>
      <c r="E37" s="3"/>
      <c r="F37" s="3"/>
      <c r="G37" s="3"/>
      <c r="H37" s="3"/>
      <c r="I37" s="3"/>
      <c r="J37" s="3"/>
      <c r="K37" s="3"/>
      <c r="L37" s="3"/>
      <c r="M37" s="3"/>
      <c r="N37" s="3"/>
      <c r="O37" s="3"/>
      <c r="P37" s="3"/>
      <c r="Q37" s="3"/>
      <c r="R37" s="3"/>
      <c r="S37" s="3"/>
      <c r="T37" s="3"/>
      <c r="U37" s="3"/>
      <c r="V37" s="3"/>
      <c r="W37" s="3"/>
      <c r="X37" s="3"/>
      <c r="Y37" s="3"/>
      <c r="Z37" s="3"/>
    </row>
    <row r="38">
      <c r="A38" s="1" t="s">
        <v>251</v>
      </c>
      <c r="B38" s="1" t="s">
        <v>252</v>
      </c>
      <c r="C38" s="3"/>
      <c r="D38" s="3"/>
      <c r="E38" s="3"/>
      <c r="F38" s="3"/>
      <c r="G38" s="3"/>
      <c r="H38" s="3"/>
      <c r="I38" s="3"/>
      <c r="J38" s="3"/>
      <c r="K38" s="3"/>
      <c r="L38" s="3"/>
      <c r="M38" s="3"/>
      <c r="N38" s="3"/>
      <c r="O38" s="3"/>
      <c r="P38" s="3"/>
      <c r="Q38" s="3"/>
      <c r="R38" s="3"/>
      <c r="S38" s="3"/>
      <c r="T38" s="3"/>
      <c r="U38" s="3"/>
      <c r="V38" s="3"/>
      <c r="W38" s="3"/>
      <c r="X38" s="3"/>
      <c r="Y38" s="3"/>
      <c r="Z38" s="3"/>
    </row>
    <row r="39">
      <c r="A39" s="1" t="s">
        <v>117</v>
      </c>
      <c r="B39" s="1" t="s">
        <v>118</v>
      </c>
      <c r="C39" s="3"/>
      <c r="D39" s="3"/>
      <c r="E39" s="3"/>
      <c r="F39" s="3"/>
      <c r="G39" s="3"/>
      <c r="H39" s="3"/>
      <c r="I39" s="3"/>
      <c r="J39" s="3"/>
      <c r="K39" s="3"/>
      <c r="L39" s="3"/>
      <c r="M39" s="3"/>
      <c r="N39" s="3"/>
      <c r="O39" s="3"/>
      <c r="P39" s="3"/>
      <c r="Q39" s="3"/>
      <c r="R39" s="3"/>
      <c r="S39" s="3"/>
      <c r="T39" s="3"/>
      <c r="U39" s="3"/>
      <c r="V39" s="3"/>
      <c r="W39" s="3"/>
      <c r="X39" s="3"/>
      <c r="Y39" s="3"/>
      <c r="Z39" s="3"/>
    </row>
    <row r="40">
      <c r="A40" s="1" t="s">
        <v>119</v>
      </c>
      <c r="B40" s="1" t="s">
        <v>253</v>
      </c>
      <c r="C40" s="3"/>
      <c r="D40" s="3"/>
      <c r="E40" s="3"/>
      <c r="F40" s="3"/>
      <c r="G40" s="3"/>
      <c r="H40" s="3"/>
      <c r="I40" s="3"/>
      <c r="J40" s="3"/>
      <c r="K40" s="3"/>
      <c r="L40" s="3"/>
      <c r="M40" s="3"/>
      <c r="N40" s="3"/>
      <c r="O40" s="3"/>
      <c r="P40" s="3"/>
      <c r="Q40" s="3"/>
      <c r="R40" s="3"/>
      <c r="S40" s="3"/>
      <c r="T40" s="3"/>
      <c r="U40" s="3"/>
      <c r="V40" s="3"/>
      <c r="W40" s="3"/>
      <c r="X40" s="3"/>
      <c r="Y40" s="3"/>
      <c r="Z40" s="3"/>
    </row>
    <row r="41">
      <c r="A41" s="1" t="s">
        <v>121</v>
      </c>
      <c r="B41" s="1" t="s">
        <v>254</v>
      </c>
      <c r="C41" s="3"/>
      <c r="D41" s="3"/>
      <c r="E41" s="3"/>
      <c r="F41" s="3"/>
      <c r="G41" s="3"/>
      <c r="H41" s="3"/>
      <c r="I41" s="3"/>
      <c r="J41" s="3"/>
      <c r="K41" s="3"/>
      <c r="L41" s="3"/>
      <c r="M41" s="3"/>
      <c r="N41" s="3"/>
      <c r="O41" s="3"/>
      <c r="P41" s="3"/>
      <c r="Q41" s="3"/>
      <c r="R41" s="3"/>
      <c r="S41" s="3"/>
      <c r="T41" s="3"/>
      <c r="U41" s="3"/>
      <c r="V41" s="3"/>
      <c r="W41" s="3"/>
      <c r="X41" s="3"/>
      <c r="Y41" s="3"/>
      <c r="Z41" s="3"/>
    </row>
    <row r="42">
      <c r="A42" s="1" t="s">
        <v>124</v>
      </c>
      <c r="B42" s="1" t="s">
        <v>125</v>
      </c>
      <c r="C42" s="3"/>
      <c r="D42" s="3"/>
      <c r="E42" s="3"/>
      <c r="F42" s="3"/>
      <c r="G42" s="3"/>
      <c r="H42" s="3"/>
      <c r="I42" s="3"/>
      <c r="J42" s="3"/>
      <c r="K42" s="3"/>
      <c r="L42" s="3"/>
      <c r="M42" s="3"/>
      <c r="N42" s="3"/>
      <c r="O42" s="3"/>
      <c r="P42" s="3"/>
      <c r="Q42" s="3"/>
      <c r="R42" s="3"/>
      <c r="S42" s="3"/>
      <c r="T42" s="3"/>
      <c r="U42" s="3"/>
      <c r="V42" s="3"/>
      <c r="W42" s="3"/>
      <c r="X42" s="3"/>
      <c r="Y42" s="3"/>
      <c r="Z42" s="3"/>
    </row>
    <row r="43">
      <c r="A43" s="1" t="s">
        <v>126</v>
      </c>
      <c r="B43" s="1" t="s">
        <v>255</v>
      </c>
      <c r="C43" s="3"/>
      <c r="D43" s="3"/>
      <c r="E43" s="3"/>
      <c r="F43" s="3"/>
      <c r="G43" s="3"/>
      <c r="H43" s="3"/>
      <c r="I43" s="3"/>
      <c r="J43" s="3"/>
      <c r="K43" s="3"/>
      <c r="L43" s="3"/>
      <c r="M43" s="3"/>
      <c r="N43" s="3"/>
      <c r="O43" s="3"/>
      <c r="P43" s="3"/>
      <c r="Q43" s="3"/>
      <c r="R43" s="3"/>
      <c r="S43" s="3"/>
      <c r="T43" s="3"/>
      <c r="U43" s="3"/>
      <c r="V43" s="3"/>
      <c r="W43" s="3"/>
      <c r="X43" s="3"/>
      <c r="Y43" s="3"/>
      <c r="Z43" s="3"/>
    </row>
    <row r="44">
      <c r="A44" s="1" t="s">
        <v>130</v>
      </c>
      <c r="B44" s="1" t="s">
        <v>256</v>
      </c>
      <c r="C44" s="3"/>
      <c r="D44" s="3"/>
      <c r="E44" s="3"/>
      <c r="F44" s="3"/>
      <c r="G44" s="3"/>
      <c r="H44" s="3"/>
      <c r="I44" s="3"/>
      <c r="J44" s="3"/>
      <c r="K44" s="3"/>
      <c r="L44" s="3"/>
      <c r="M44" s="3"/>
      <c r="N44" s="3"/>
      <c r="O44" s="3"/>
      <c r="P44" s="3"/>
      <c r="Q44" s="3"/>
      <c r="R44" s="3"/>
      <c r="S44" s="3"/>
      <c r="T44" s="3"/>
      <c r="U44" s="3"/>
      <c r="V44" s="3"/>
      <c r="W44" s="3"/>
      <c r="X44" s="3"/>
      <c r="Y44" s="3"/>
      <c r="Z44" s="3"/>
    </row>
    <row r="45">
      <c r="A45" s="1" t="s">
        <v>132</v>
      </c>
      <c r="B45" s="1" t="s">
        <v>133</v>
      </c>
      <c r="C45" s="3"/>
      <c r="D45" s="3"/>
      <c r="E45" s="3"/>
      <c r="F45" s="3"/>
      <c r="G45" s="3"/>
      <c r="H45" s="3"/>
      <c r="I45" s="3"/>
      <c r="J45" s="3"/>
      <c r="K45" s="3"/>
      <c r="L45" s="3"/>
      <c r="M45" s="3"/>
      <c r="N45" s="3"/>
      <c r="O45" s="3"/>
      <c r="P45" s="3"/>
      <c r="Q45" s="3"/>
      <c r="R45" s="3"/>
      <c r="S45" s="3"/>
      <c r="T45" s="3"/>
      <c r="U45" s="3"/>
      <c r="V45" s="3"/>
      <c r="W45" s="3"/>
      <c r="X45" s="3"/>
      <c r="Y45" s="3"/>
      <c r="Z45" s="3"/>
    </row>
    <row r="46">
      <c r="A46" s="1" t="s">
        <v>134</v>
      </c>
      <c r="B46" s="1" t="s">
        <v>135</v>
      </c>
      <c r="C46" s="3"/>
      <c r="D46" s="3"/>
      <c r="E46" s="3"/>
      <c r="F46" s="3"/>
      <c r="G46" s="3"/>
      <c r="H46" s="3"/>
      <c r="I46" s="3"/>
      <c r="J46" s="3"/>
      <c r="K46" s="3"/>
      <c r="L46" s="3"/>
      <c r="M46" s="3"/>
      <c r="N46" s="3"/>
      <c r="O46" s="3"/>
      <c r="P46" s="3"/>
      <c r="Q46" s="3"/>
      <c r="R46" s="3"/>
      <c r="S46" s="3"/>
      <c r="T46" s="3"/>
      <c r="U46" s="3"/>
      <c r="V46" s="3"/>
      <c r="W46" s="3"/>
      <c r="X46" s="3"/>
      <c r="Y46" s="3"/>
      <c r="Z46" s="3"/>
    </row>
    <row r="47">
      <c r="A47" s="1" t="s">
        <v>136</v>
      </c>
      <c r="B47" s="1" t="s">
        <v>257</v>
      </c>
      <c r="C47" s="3"/>
      <c r="D47" s="3"/>
      <c r="E47" s="3"/>
      <c r="F47" s="3"/>
      <c r="G47" s="3"/>
      <c r="H47" s="3"/>
      <c r="I47" s="3"/>
      <c r="J47" s="3"/>
      <c r="K47" s="3"/>
      <c r="L47" s="3"/>
      <c r="M47" s="3"/>
      <c r="N47" s="3"/>
      <c r="O47" s="3"/>
      <c r="P47" s="3"/>
      <c r="Q47" s="3"/>
      <c r="R47" s="3"/>
      <c r="S47" s="3"/>
      <c r="T47" s="3"/>
      <c r="U47" s="3"/>
      <c r="V47" s="3"/>
      <c r="W47" s="3"/>
      <c r="X47" s="3"/>
      <c r="Y47" s="3"/>
      <c r="Z47" s="3"/>
    </row>
    <row r="48">
      <c r="A48" s="1" t="s">
        <v>138</v>
      </c>
      <c r="B48" s="1" t="s">
        <v>258</v>
      </c>
      <c r="C48" s="3"/>
      <c r="D48" s="3"/>
      <c r="E48" s="3"/>
      <c r="F48" s="3"/>
      <c r="G48" s="3"/>
      <c r="H48" s="3"/>
      <c r="I48" s="3"/>
      <c r="J48" s="3"/>
      <c r="K48" s="3"/>
      <c r="L48" s="3"/>
      <c r="M48" s="3"/>
      <c r="N48" s="3"/>
      <c r="O48" s="3"/>
      <c r="P48" s="3"/>
      <c r="Q48" s="3"/>
      <c r="R48" s="3"/>
      <c r="S48" s="3"/>
      <c r="T48" s="3"/>
      <c r="U48" s="3"/>
      <c r="V48" s="3"/>
      <c r="W48" s="3"/>
      <c r="X48" s="3"/>
      <c r="Y48" s="3"/>
      <c r="Z48" s="3"/>
    </row>
    <row r="49">
      <c r="A49" s="1" t="s">
        <v>140</v>
      </c>
      <c r="B49" s="1" t="s">
        <v>259</v>
      </c>
      <c r="C49" s="3"/>
      <c r="D49" s="3"/>
      <c r="E49" s="3"/>
      <c r="F49" s="3"/>
      <c r="G49" s="3"/>
      <c r="H49" s="3"/>
      <c r="I49" s="3"/>
      <c r="J49" s="3"/>
      <c r="K49" s="3"/>
      <c r="L49" s="3"/>
      <c r="M49" s="3"/>
      <c r="N49" s="3"/>
      <c r="O49" s="3"/>
      <c r="P49" s="3"/>
      <c r="Q49" s="3"/>
      <c r="R49" s="3"/>
      <c r="S49" s="3"/>
      <c r="T49" s="3"/>
      <c r="U49" s="3"/>
      <c r="V49" s="3"/>
      <c r="W49" s="3"/>
      <c r="X49" s="3"/>
      <c r="Y49" s="3"/>
      <c r="Z49" s="3"/>
    </row>
    <row r="50">
      <c r="A50" s="1" t="s">
        <v>142</v>
      </c>
      <c r="B50" s="1" t="s">
        <v>260</v>
      </c>
      <c r="C50" s="3"/>
      <c r="D50" s="3"/>
      <c r="E50" s="3"/>
      <c r="F50" s="3"/>
      <c r="G50" s="3"/>
      <c r="H50" s="3"/>
      <c r="I50" s="3"/>
      <c r="J50" s="3"/>
      <c r="K50" s="3"/>
      <c r="L50" s="3"/>
      <c r="M50" s="3"/>
      <c r="N50" s="3"/>
      <c r="O50" s="3"/>
      <c r="P50" s="3"/>
      <c r="Q50" s="3"/>
      <c r="R50" s="3"/>
      <c r="S50" s="3"/>
      <c r="T50" s="3"/>
      <c r="U50" s="3"/>
      <c r="V50" s="3"/>
      <c r="W50" s="3"/>
      <c r="X50" s="3"/>
      <c r="Y50" s="3"/>
      <c r="Z50" s="3"/>
    </row>
    <row r="51">
      <c r="A51" s="1" t="s">
        <v>144</v>
      </c>
      <c r="B51" s="1" t="s">
        <v>261</v>
      </c>
      <c r="C51" s="3"/>
      <c r="D51" s="3"/>
      <c r="E51" s="3"/>
      <c r="F51" s="3"/>
      <c r="G51" s="3"/>
      <c r="H51" s="3"/>
      <c r="I51" s="3"/>
      <c r="J51" s="3"/>
      <c r="K51" s="3"/>
      <c r="L51" s="3"/>
      <c r="M51" s="3"/>
      <c r="N51" s="3"/>
      <c r="O51" s="3"/>
      <c r="P51" s="3"/>
      <c r="Q51" s="3"/>
      <c r="R51" s="3"/>
      <c r="S51" s="3"/>
      <c r="T51" s="3"/>
      <c r="U51" s="3"/>
      <c r="V51" s="3"/>
      <c r="W51" s="3"/>
      <c r="X51" s="3"/>
      <c r="Y51" s="3"/>
      <c r="Z51" s="3"/>
    </row>
    <row r="52">
      <c r="A52" s="1" t="s">
        <v>146</v>
      </c>
      <c r="B52" s="1" t="s">
        <v>262</v>
      </c>
      <c r="C52" s="3"/>
      <c r="D52" s="3"/>
      <c r="E52" s="3"/>
      <c r="F52" s="3"/>
      <c r="G52" s="3"/>
      <c r="H52" s="3"/>
      <c r="I52" s="3"/>
      <c r="J52" s="3"/>
      <c r="K52" s="3"/>
      <c r="L52" s="3"/>
      <c r="M52" s="3"/>
      <c r="N52" s="3"/>
      <c r="O52" s="3"/>
      <c r="P52" s="3"/>
      <c r="Q52" s="3"/>
      <c r="R52" s="3"/>
      <c r="S52" s="3"/>
      <c r="T52" s="3"/>
      <c r="U52" s="3"/>
      <c r="V52" s="3"/>
      <c r="W52" s="3"/>
      <c r="X52" s="3"/>
      <c r="Y52" s="3"/>
      <c r="Z52" s="3"/>
    </row>
    <row r="53">
      <c r="A53" s="1" t="s">
        <v>148</v>
      </c>
      <c r="B53" s="1" t="s">
        <v>263</v>
      </c>
      <c r="C53" s="3"/>
      <c r="D53" s="3"/>
      <c r="E53" s="3"/>
      <c r="F53" s="3"/>
      <c r="G53" s="3"/>
      <c r="H53" s="3"/>
      <c r="I53" s="3"/>
      <c r="J53" s="3"/>
      <c r="K53" s="3"/>
      <c r="L53" s="3"/>
      <c r="M53" s="3"/>
      <c r="N53" s="3"/>
      <c r="O53" s="3"/>
      <c r="P53" s="3"/>
      <c r="Q53" s="3"/>
      <c r="R53" s="3"/>
      <c r="S53" s="3"/>
      <c r="T53" s="3"/>
      <c r="U53" s="3"/>
      <c r="V53" s="3"/>
      <c r="W53" s="3"/>
      <c r="X53" s="3"/>
      <c r="Y53" s="3"/>
      <c r="Z53" s="3"/>
    </row>
    <row r="54">
      <c r="A54" s="1" t="s">
        <v>150</v>
      </c>
      <c r="B54" s="1" t="s">
        <v>264</v>
      </c>
      <c r="C54" s="3"/>
      <c r="D54" s="3"/>
      <c r="E54" s="3"/>
      <c r="F54" s="3"/>
      <c r="G54" s="3"/>
      <c r="H54" s="3"/>
      <c r="I54" s="3"/>
      <c r="J54" s="3"/>
      <c r="K54" s="3"/>
      <c r="L54" s="3"/>
      <c r="M54" s="3"/>
      <c r="N54" s="3"/>
      <c r="O54" s="3"/>
      <c r="P54" s="3"/>
      <c r="Q54" s="3"/>
      <c r="R54" s="3"/>
      <c r="S54" s="3"/>
      <c r="T54" s="3"/>
      <c r="U54" s="3"/>
      <c r="V54" s="3"/>
      <c r="W54" s="3"/>
      <c r="X54" s="3"/>
      <c r="Y54" s="3"/>
      <c r="Z54" s="3"/>
    </row>
    <row r="55">
      <c r="A55" s="1" t="s">
        <v>153</v>
      </c>
      <c r="B55" s="1" t="s">
        <v>265</v>
      </c>
      <c r="C55" s="3"/>
      <c r="D55" s="3"/>
      <c r="E55" s="3"/>
      <c r="F55" s="3"/>
      <c r="G55" s="3"/>
      <c r="H55" s="3"/>
      <c r="I55" s="3"/>
      <c r="J55" s="3"/>
      <c r="K55" s="3"/>
      <c r="L55" s="3"/>
      <c r="M55" s="3"/>
      <c r="N55" s="3"/>
      <c r="O55" s="3"/>
      <c r="P55" s="3"/>
      <c r="Q55" s="3"/>
      <c r="R55" s="3"/>
      <c r="S55" s="3"/>
      <c r="T55" s="3"/>
      <c r="U55" s="3"/>
      <c r="V55" s="3"/>
      <c r="W55" s="3"/>
      <c r="X55" s="3"/>
      <c r="Y55" s="3"/>
      <c r="Z55" s="3"/>
    </row>
    <row r="56">
      <c r="A56" s="1" t="s">
        <v>156</v>
      </c>
      <c r="B56" s="1" t="s">
        <v>266</v>
      </c>
      <c r="C56" s="3"/>
      <c r="D56" s="3"/>
      <c r="E56" s="3"/>
      <c r="F56" s="3"/>
      <c r="G56" s="3"/>
      <c r="H56" s="3"/>
      <c r="I56" s="3"/>
      <c r="J56" s="3"/>
      <c r="K56" s="3"/>
      <c r="L56" s="3"/>
      <c r="M56" s="3"/>
      <c r="N56" s="3"/>
      <c r="O56" s="3"/>
      <c r="P56" s="3"/>
      <c r="Q56" s="3"/>
      <c r="R56" s="3"/>
      <c r="S56" s="3"/>
      <c r="T56" s="3"/>
      <c r="U56" s="3"/>
      <c r="V56" s="3"/>
      <c r="W56" s="3"/>
      <c r="X56" s="3"/>
      <c r="Y56" s="3"/>
      <c r="Z56" s="3"/>
    </row>
    <row r="57">
      <c r="A57" s="1" t="s">
        <v>158</v>
      </c>
      <c r="B57" s="1" t="s">
        <v>267</v>
      </c>
      <c r="C57" s="3"/>
      <c r="D57" s="3"/>
      <c r="E57" s="3"/>
      <c r="F57" s="3"/>
      <c r="G57" s="3"/>
      <c r="H57" s="3"/>
      <c r="I57" s="3"/>
      <c r="J57" s="3"/>
      <c r="K57" s="3"/>
      <c r="L57" s="3"/>
      <c r="M57" s="3"/>
      <c r="N57" s="3"/>
      <c r="O57" s="3"/>
      <c r="P57" s="3"/>
      <c r="Q57" s="3"/>
      <c r="R57" s="3"/>
      <c r="S57" s="3"/>
      <c r="T57" s="3"/>
      <c r="U57" s="3"/>
      <c r="V57" s="3"/>
      <c r="W57" s="3"/>
      <c r="X57" s="3"/>
      <c r="Y57" s="3"/>
      <c r="Z57" s="3"/>
    </row>
    <row r="58">
      <c r="A58" s="1" t="s">
        <v>160</v>
      </c>
      <c r="B58" s="1" t="s">
        <v>268</v>
      </c>
      <c r="C58" s="3"/>
      <c r="D58" s="3"/>
      <c r="E58" s="3"/>
      <c r="F58" s="3"/>
      <c r="G58" s="3"/>
      <c r="H58" s="3"/>
      <c r="I58" s="3"/>
      <c r="J58" s="3"/>
      <c r="K58" s="3"/>
      <c r="L58" s="3"/>
      <c r="M58" s="3"/>
      <c r="N58" s="3"/>
      <c r="O58" s="3"/>
      <c r="P58" s="3"/>
      <c r="Q58" s="3"/>
      <c r="R58" s="3"/>
      <c r="S58" s="3"/>
      <c r="T58" s="3"/>
      <c r="U58" s="3"/>
      <c r="V58" s="3"/>
      <c r="W58" s="3"/>
      <c r="X58" s="3"/>
      <c r="Y58" s="3"/>
      <c r="Z58" s="3"/>
    </row>
    <row r="59">
      <c r="A59" s="1" t="s">
        <v>162</v>
      </c>
      <c r="B59" s="1" t="s">
        <v>269</v>
      </c>
      <c r="C59" s="3"/>
      <c r="D59" s="3"/>
      <c r="E59" s="3"/>
      <c r="F59" s="3"/>
      <c r="G59" s="3"/>
      <c r="H59" s="3"/>
      <c r="I59" s="3"/>
      <c r="J59" s="3"/>
      <c r="K59" s="3"/>
      <c r="L59" s="3"/>
      <c r="M59" s="3"/>
      <c r="N59" s="3"/>
      <c r="O59" s="3"/>
      <c r="P59" s="3"/>
      <c r="Q59" s="3"/>
      <c r="R59" s="3"/>
      <c r="S59" s="3"/>
      <c r="T59" s="3"/>
      <c r="U59" s="3"/>
      <c r="V59" s="3"/>
      <c r="W59" s="3"/>
      <c r="X59" s="3"/>
      <c r="Y59" s="3"/>
      <c r="Z59" s="3"/>
    </row>
    <row r="60">
      <c r="A60" s="7" t="s">
        <v>270</v>
      </c>
      <c r="B60" s="7" t="s">
        <v>271</v>
      </c>
      <c r="C60" s="3"/>
      <c r="D60" s="3"/>
      <c r="E60" s="3"/>
      <c r="F60" s="3"/>
      <c r="G60" s="3"/>
      <c r="H60" s="3"/>
      <c r="I60" s="3"/>
      <c r="J60" s="3"/>
      <c r="K60" s="3"/>
      <c r="L60" s="3"/>
      <c r="M60" s="3"/>
      <c r="N60" s="3"/>
      <c r="O60" s="3"/>
      <c r="P60" s="3"/>
      <c r="Q60" s="3"/>
      <c r="R60" s="3"/>
      <c r="S60" s="3"/>
      <c r="T60" s="3"/>
      <c r="U60" s="3"/>
      <c r="V60" s="3"/>
      <c r="W60" s="3"/>
      <c r="X60" s="3"/>
      <c r="Y60" s="3"/>
      <c r="Z60" s="3"/>
    </row>
    <row r="61">
      <c r="A61" s="7" t="s">
        <v>272</v>
      </c>
      <c r="B61" s="7" t="s">
        <v>273</v>
      </c>
      <c r="C61" s="3"/>
      <c r="D61" s="3"/>
      <c r="E61" s="3"/>
      <c r="F61" s="3"/>
      <c r="G61" s="3"/>
      <c r="H61" s="3"/>
      <c r="I61" s="3"/>
      <c r="J61" s="3"/>
      <c r="K61" s="3"/>
      <c r="L61" s="3"/>
      <c r="M61" s="3"/>
      <c r="N61" s="3"/>
      <c r="O61" s="3"/>
      <c r="P61" s="3"/>
      <c r="Q61" s="3"/>
      <c r="R61" s="3"/>
      <c r="S61" s="3"/>
      <c r="T61" s="3"/>
      <c r="U61" s="3"/>
      <c r="V61" s="3"/>
      <c r="W61" s="3"/>
      <c r="X61" s="3"/>
      <c r="Y61" s="3"/>
      <c r="Z61" s="3"/>
    </row>
    <row r="62">
      <c r="A62" s="7" t="s">
        <v>274</v>
      </c>
      <c r="B62" s="7" t="s">
        <v>275</v>
      </c>
      <c r="C62" s="3"/>
      <c r="D62" s="3"/>
      <c r="E62" s="3"/>
      <c r="F62" s="3"/>
      <c r="G62" s="3"/>
      <c r="H62" s="3"/>
      <c r="I62" s="3"/>
      <c r="J62" s="3"/>
      <c r="K62" s="3"/>
      <c r="L62" s="3"/>
      <c r="M62" s="3"/>
      <c r="N62" s="3"/>
      <c r="O62" s="3"/>
      <c r="P62" s="3"/>
      <c r="Q62" s="3"/>
      <c r="R62" s="3"/>
      <c r="S62" s="3"/>
      <c r="T62" s="3"/>
      <c r="U62" s="3"/>
      <c r="V62" s="3"/>
      <c r="W62" s="3"/>
      <c r="X62" s="3"/>
      <c r="Y62" s="3"/>
      <c r="Z62" s="3"/>
    </row>
    <row r="63">
      <c r="A63" s="7" t="s">
        <v>276</v>
      </c>
      <c r="B63" s="7" t="s">
        <v>277</v>
      </c>
      <c r="C63" s="3"/>
      <c r="D63" s="3"/>
      <c r="E63" s="3"/>
      <c r="F63" s="3"/>
      <c r="G63" s="3"/>
      <c r="H63" s="3"/>
      <c r="I63" s="3"/>
      <c r="J63" s="3"/>
      <c r="K63" s="3"/>
      <c r="L63" s="3"/>
      <c r="M63" s="3"/>
      <c r="N63" s="3"/>
      <c r="O63" s="3"/>
      <c r="P63" s="3"/>
      <c r="Q63" s="3"/>
      <c r="R63" s="3"/>
      <c r="S63" s="3"/>
      <c r="T63" s="3"/>
      <c r="U63" s="3"/>
      <c r="V63" s="3"/>
      <c r="W63" s="3"/>
      <c r="X63" s="3"/>
      <c r="Y63" s="3"/>
      <c r="Z63" s="3"/>
    </row>
    <row r="64">
      <c r="A64" s="7" t="s">
        <v>278</v>
      </c>
      <c r="B64" s="7" t="s">
        <v>279</v>
      </c>
      <c r="C64" s="3"/>
      <c r="D64" s="3"/>
      <c r="E64" s="3"/>
      <c r="F64" s="3"/>
      <c r="G64" s="3"/>
      <c r="H64" s="3"/>
      <c r="I64" s="3"/>
      <c r="J64" s="3"/>
      <c r="K64" s="3"/>
      <c r="L64" s="3"/>
      <c r="M64" s="3"/>
      <c r="N64" s="3"/>
      <c r="O64" s="3"/>
      <c r="P64" s="3"/>
      <c r="Q64" s="3"/>
      <c r="R64" s="3"/>
      <c r="S64" s="3"/>
      <c r="T64" s="3"/>
      <c r="U64" s="3"/>
      <c r="V64" s="3"/>
      <c r="W64" s="3"/>
      <c r="X64" s="3"/>
      <c r="Y64" s="3"/>
      <c r="Z64" s="3"/>
    </row>
    <row r="65">
      <c r="A65" s="7" t="s">
        <v>280</v>
      </c>
      <c r="B65" s="7" t="s">
        <v>281</v>
      </c>
      <c r="C65" s="3"/>
      <c r="D65" s="3"/>
      <c r="E65" s="3"/>
      <c r="F65" s="3"/>
      <c r="G65" s="3"/>
      <c r="H65" s="3"/>
      <c r="I65" s="3"/>
      <c r="J65" s="3"/>
      <c r="K65" s="3"/>
      <c r="L65" s="3"/>
      <c r="M65" s="3"/>
      <c r="N65" s="3"/>
      <c r="O65" s="3"/>
      <c r="P65" s="3"/>
      <c r="Q65" s="3"/>
      <c r="R65" s="3"/>
      <c r="S65" s="3"/>
      <c r="T65" s="3"/>
      <c r="U65" s="3"/>
      <c r="V65" s="3"/>
      <c r="W65" s="3"/>
      <c r="X65" s="3"/>
      <c r="Y65" s="3"/>
      <c r="Z65" s="3"/>
    </row>
    <row r="66">
      <c r="A66" s="1" t="s">
        <v>167</v>
      </c>
      <c r="B66" s="1" t="s">
        <v>282</v>
      </c>
      <c r="C66" s="3"/>
      <c r="D66" s="3"/>
      <c r="E66" s="3"/>
      <c r="F66" s="3"/>
      <c r="G66" s="3"/>
      <c r="H66" s="3"/>
      <c r="I66" s="3"/>
      <c r="J66" s="3"/>
      <c r="K66" s="3"/>
      <c r="L66" s="3"/>
      <c r="M66" s="3"/>
      <c r="N66" s="3"/>
      <c r="O66" s="3"/>
      <c r="P66" s="3"/>
      <c r="Q66" s="3"/>
      <c r="R66" s="3"/>
      <c r="S66" s="3"/>
      <c r="T66" s="3"/>
      <c r="U66" s="3"/>
      <c r="V66" s="3"/>
      <c r="W66" s="3"/>
      <c r="X66" s="3"/>
      <c r="Y66" s="3"/>
      <c r="Z66" s="3"/>
    </row>
    <row r="67">
      <c r="A67" s="1" t="s">
        <v>169</v>
      </c>
      <c r="B67" s="1" t="s">
        <v>283</v>
      </c>
      <c r="C67" s="3"/>
      <c r="D67" s="3"/>
      <c r="E67" s="3"/>
      <c r="F67" s="3"/>
      <c r="G67" s="3"/>
      <c r="H67" s="3"/>
      <c r="I67" s="3"/>
      <c r="J67" s="3"/>
      <c r="K67" s="3"/>
      <c r="L67" s="3"/>
      <c r="M67" s="3"/>
      <c r="N67" s="3"/>
      <c r="O67" s="3"/>
      <c r="P67" s="3"/>
      <c r="Q67" s="3"/>
      <c r="R67" s="3"/>
      <c r="S67" s="3"/>
      <c r="T67" s="3"/>
      <c r="U67" s="3"/>
      <c r="V67" s="3"/>
      <c r="W67" s="3"/>
      <c r="X67" s="3"/>
      <c r="Y67" s="3"/>
      <c r="Z67" s="3"/>
    </row>
    <row r="68">
      <c r="A68" s="1" t="s">
        <v>171</v>
      </c>
      <c r="B68" s="1" t="s">
        <v>284</v>
      </c>
      <c r="C68" s="3"/>
      <c r="D68" s="3"/>
      <c r="E68" s="3"/>
      <c r="F68" s="3"/>
      <c r="G68" s="3"/>
      <c r="H68" s="3"/>
      <c r="I68" s="3"/>
      <c r="J68" s="3"/>
      <c r="K68" s="3"/>
      <c r="L68" s="3"/>
      <c r="M68" s="3"/>
      <c r="N68" s="3"/>
      <c r="O68" s="3"/>
      <c r="P68" s="3"/>
      <c r="Q68" s="3"/>
      <c r="R68" s="3"/>
      <c r="S68" s="3"/>
      <c r="T68" s="3"/>
      <c r="U68" s="3"/>
      <c r="V68" s="3"/>
      <c r="W68" s="3"/>
      <c r="X68" s="3"/>
      <c r="Y68" s="3"/>
      <c r="Z68" s="3"/>
    </row>
    <row r="69">
      <c r="A69" s="1" t="s">
        <v>174</v>
      </c>
      <c r="B69" s="1" t="s">
        <v>287</v>
      </c>
      <c r="C69" s="3"/>
      <c r="D69" s="3"/>
      <c r="E69" s="3"/>
      <c r="F69" s="3"/>
      <c r="G69" s="3"/>
      <c r="H69" s="3"/>
      <c r="I69" s="3"/>
      <c r="J69" s="3"/>
      <c r="K69" s="3"/>
      <c r="L69" s="3"/>
      <c r="M69" s="3"/>
      <c r="N69" s="3"/>
      <c r="O69" s="3"/>
      <c r="P69" s="3"/>
      <c r="Q69" s="3"/>
      <c r="R69" s="3"/>
      <c r="S69" s="3"/>
      <c r="T69" s="3"/>
      <c r="U69" s="3"/>
      <c r="V69" s="3"/>
      <c r="W69" s="3"/>
      <c r="X69" s="3"/>
      <c r="Y69" s="3"/>
      <c r="Z69" s="3"/>
    </row>
    <row r="70">
      <c r="A70" s="1" t="s">
        <v>177</v>
      </c>
      <c r="B70" s="1" t="s">
        <v>288</v>
      </c>
      <c r="C70" s="3"/>
      <c r="D70" s="3"/>
      <c r="E70" s="3"/>
      <c r="F70" s="3"/>
      <c r="G70" s="3"/>
      <c r="H70" s="3"/>
      <c r="I70" s="3"/>
      <c r="J70" s="3"/>
      <c r="K70" s="3"/>
      <c r="L70" s="3"/>
      <c r="M70" s="3"/>
      <c r="N70" s="3"/>
      <c r="O70" s="3"/>
      <c r="P70" s="3"/>
      <c r="Q70" s="3"/>
      <c r="R70" s="3"/>
      <c r="S70" s="3"/>
      <c r="T70" s="3"/>
      <c r="U70" s="3"/>
      <c r="V70" s="3"/>
      <c r="W70" s="3"/>
      <c r="X70" s="3"/>
      <c r="Y70" s="3"/>
      <c r="Z70" s="3"/>
    </row>
    <row r="71">
      <c r="A71" s="1" t="s">
        <v>179</v>
      </c>
      <c r="B71" s="1" t="s">
        <v>289</v>
      </c>
      <c r="C71" s="3"/>
      <c r="D71" s="3"/>
      <c r="E71" s="3"/>
      <c r="F71" s="3"/>
      <c r="G71" s="3"/>
      <c r="H71" s="3"/>
      <c r="I71" s="3"/>
      <c r="J71" s="3"/>
      <c r="K71" s="3"/>
      <c r="L71" s="3"/>
      <c r="M71" s="3"/>
      <c r="N71" s="3"/>
      <c r="O71" s="3"/>
      <c r="P71" s="3"/>
      <c r="Q71" s="3"/>
      <c r="R71" s="3"/>
      <c r="S71" s="3"/>
      <c r="T71" s="3"/>
      <c r="U71" s="3"/>
      <c r="V71" s="3"/>
      <c r="W71" s="3"/>
      <c r="X71" s="3"/>
      <c r="Y71" s="3"/>
      <c r="Z71" s="3"/>
    </row>
    <row r="72">
      <c r="A72" s="1" t="s">
        <v>181</v>
      </c>
      <c r="B72" s="1" t="s">
        <v>290</v>
      </c>
      <c r="C72" s="3"/>
      <c r="D72" s="3"/>
      <c r="E72" s="3"/>
      <c r="F72" s="3"/>
      <c r="G72" s="3"/>
      <c r="H72" s="3"/>
      <c r="I72" s="3"/>
      <c r="J72" s="3"/>
      <c r="K72" s="3"/>
      <c r="L72" s="3"/>
      <c r="M72" s="3"/>
      <c r="N72" s="3"/>
      <c r="O72" s="3"/>
      <c r="P72" s="3"/>
      <c r="Q72" s="3"/>
      <c r="R72" s="3"/>
      <c r="S72" s="3"/>
      <c r="T72" s="3"/>
      <c r="U72" s="3"/>
      <c r="V72" s="3"/>
      <c r="W72" s="3"/>
      <c r="X72" s="3"/>
      <c r="Y72" s="3"/>
      <c r="Z72" s="3"/>
    </row>
    <row r="73">
      <c r="A73" s="1" t="s">
        <v>184</v>
      </c>
      <c r="B73" s="1" t="s">
        <v>291</v>
      </c>
      <c r="C73" s="3"/>
      <c r="D73" s="3"/>
      <c r="E73" s="3"/>
      <c r="F73" s="3"/>
      <c r="G73" s="3"/>
      <c r="H73" s="3"/>
      <c r="I73" s="3"/>
      <c r="J73" s="3"/>
      <c r="K73" s="3"/>
      <c r="L73" s="3"/>
      <c r="M73" s="3"/>
      <c r="N73" s="3"/>
      <c r="O73" s="3"/>
      <c r="P73" s="3"/>
      <c r="Q73" s="3"/>
      <c r="R73" s="3"/>
      <c r="S73" s="3"/>
      <c r="T73" s="3"/>
      <c r="U73" s="3"/>
      <c r="V73" s="3"/>
      <c r="W73" s="3"/>
      <c r="X73" s="3"/>
      <c r="Y73" s="3"/>
      <c r="Z73" s="3"/>
    </row>
    <row r="74">
      <c r="A74" s="1" t="s">
        <v>187</v>
      </c>
      <c r="B74" s="1" t="s">
        <v>292</v>
      </c>
      <c r="C74" s="3"/>
      <c r="D74" s="3"/>
      <c r="E74" s="3"/>
      <c r="F74" s="3"/>
      <c r="G74" s="3"/>
      <c r="H74" s="3"/>
      <c r="I74" s="3"/>
      <c r="J74" s="3"/>
      <c r="K74" s="3"/>
      <c r="L74" s="3"/>
      <c r="M74" s="3"/>
      <c r="N74" s="3"/>
      <c r="O74" s="3"/>
      <c r="P74" s="3"/>
      <c r="Q74" s="3"/>
      <c r="R74" s="3"/>
      <c r="S74" s="3"/>
      <c r="T74" s="3"/>
      <c r="U74" s="3"/>
      <c r="V74" s="3"/>
      <c r="W74" s="3"/>
      <c r="X74" s="3"/>
      <c r="Y74" s="3"/>
      <c r="Z74" s="3"/>
    </row>
    <row r="75">
      <c r="A75" s="1" t="s">
        <v>191</v>
      </c>
      <c r="B75" s="1" t="s">
        <v>293</v>
      </c>
      <c r="C75" s="3"/>
      <c r="D75" s="3"/>
      <c r="E75" s="3"/>
      <c r="F75" s="3"/>
      <c r="G75" s="3"/>
      <c r="H75" s="3"/>
      <c r="I75" s="3"/>
      <c r="J75" s="3"/>
      <c r="K75" s="3"/>
      <c r="L75" s="3"/>
      <c r="M75" s="3"/>
      <c r="N75" s="3"/>
      <c r="O75" s="3"/>
      <c r="P75" s="3"/>
      <c r="Q75" s="3"/>
      <c r="R75" s="3"/>
      <c r="S75" s="3"/>
      <c r="T75" s="3"/>
      <c r="U75" s="3"/>
      <c r="V75" s="3"/>
      <c r="W75" s="3"/>
      <c r="X75" s="3"/>
      <c r="Y75" s="3"/>
      <c r="Z75" s="3"/>
    </row>
    <row r="76">
      <c r="A76" s="1" t="s">
        <v>193</v>
      </c>
      <c r="B76" s="1" t="s">
        <v>294</v>
      </c>
      <c r="C76" s="3"/>
      <c r="D76" s="3"/>
      <c r="E76" s="3"/>
      <c r="F76" s="3"/>
      <c r="G76" s="3"/>
      <c r="H76" s="3"/>
      <c r="I76" s="3"/>
      <c r="J76" s="3"/>
      <c r="K76" s="3"/>
      <c r="L76" s="3"/>
      <c r="M76" s="3"/>
      <c r="N76" s="3"/>
      <c r="O76" s="3"/>
      <c r="P76" s="3"/>
      <c r="Q76" s="3"/>
      <c r="R76" s="3"/>
      <c r="S76" s="3"/>
      <c r="T76" s="3"/>
      <c r="U76" s="3"/>
      <c r="V76" s="3"/>
      <c r="W76" s="3"/>
      <c r="X76" s="3"/>
      <c r="Y76" s="3"/>
      <c r="Z76" s="3"/>
    </row>
    <row r="77">
      <c r="A77" s="1" t="s">
        <v>195</v>
      </c>
      <c r="B77" s="16" t="s">
        <v>196</v>
      </c>
      <c r="C77" s="3"/>
      <c r="D77" s="3"/>
      <c r="E77" s="3"/>
      <c r="F77" s="3"/>
      <c r="G77" s="3"/>
      <c r="H77" s="3"/>
      <c r="I77" s="3"/>
      <c r="J77" s="3"/>
      <c r="K77" s="3"/>
      <c r="L77" s="3"/>
      <c r="M77" s="3"/>
      <c r="N77" s="3"/>
      <c r="O77" s="3"/>
      <c r="P77" s="3"/>
      <c r="Q77" s="3"/>
      <c r="R77" s="3"/>
      <c r="S77" s="3"/>
      <c r="T77" s="3"/>
      <c r="U77" s="3"/>
      <c r="V77" s="3"/>
      <c r="W77" s="3"/>
      <c r="X77" s="3"/>
      <c r="Y77" s="3"/>
      <c r="Z77" s="3"/>
    </row>
    <row r="78">
      <c r="A78" s="1" t="s">
        <v>197</v>
      </c>
      <c r="B78" s="1" t="s">
        <v>295</v>
      </c>
      <c r="C78" s="3"/>
      <c r="D78" s="3"/>
      <c r="E78" s="3"/>
      <c r="F78" s="3"/>
      <c r="G78" s="3"/>
      <c r="H78" s="3"/>
      <c r="I78" s="3"/>
      <c r="J78" s="3"/>
      <c r="K78" s="3"/>
      <c r="L78" s="3"/>
      <c r="M78" s="3"/>
      <c r="N78" s="3"/>
      <c r="O78" s="3"/>
      <c r="P78" s="3"/>
      <c r="Q78" s="3"/>
      <c r="R78" s="3"/>
      <c r="S78" s="3"/>
      <c r="T78" s="3"/>
      <c r="U78" s="3"/>
      <c r="V78" s="3"/>
      <c r="W78" s="3"/>
      <c r="X78" s="3"/>
      <c r="Y78" s="3"/>
      <c r="Z78" s="3"/>
    </row>
    <row r="79">
      <c r="A79" s="1" t="s">
        <v>200</v>
      </c>
      <c r="B79" s="1" t="s">
        <v>296</v>
      </c>
      <c r="C79" s="3"/>
      <c r="D79" s="3"/>
      <c r="E79" s="3"/>
      <c r="F79" s="3"/>
      <c r="G79" s="3"/>
      <c r="H79" s="3"/>
      <c r="I79" s="3"/>
      <c r="J79" s="3"/>
      <c r="K79" s="3"/>
      <c r="L79" s="3"/>
      <c r="M79" s="3"/>
      <c r="N79" s="3"/>
      <c r="O79" s="3"/>
      <c r="P79" s="3"/>
      <c r="Q79" s="3"/>
      <c r="R79" s="3"/>
      <c r="S79" s="3"/>
      <c r="T79" s="3"/>
      <c r="U79" s="3"/>
      <c r="V79" s="3"/>
      <c r="W79" s="3"/>
      <c r="X79" s="3"/>
      <c r="Y79" s="3"/>
      <c r="Z79" s="3"/>
    </row>
    <row r="80">
      <c r="A80" s="7" t="s">
        <v>297</v>
      </c>
      <c r="B80" s="7" t="s">
        <v>298</v>
      </c>
      <c r="C80" s="3"/>
      <c r="D80" s="3"/>
      <c r="E80" s="3"/>
      <c r="F80" s="3"/>
      <c r="G80" s="3"/>
      <c r="H80" s="3"/>
      <c r="I80" s="3"/>
      <c r="J80" s="3"/>
      <c r="K80" s="3"/>
      <c r="L80" s="3"/>
      <c r="M80" s="3"/>
      <c r="N80" s="3"/>
      <c r="O80" s="3"/>
      <c r="P80" s="3"/>
      <c r="Q80" s="3"/>
      <c r="R80" s="3"/>
      <c r="S80" s="3"/>
      <c r="T80" s="3"/>
      <c r="U80" s="3"/>
      <c r="V80" s="3"/>
      <c r="W80" s="3"/>
      <c r="X80" s="3"/>
      <c r="Y80" s="3"/>
      <c r="Z80" s="3"/>
    </row>
    <row r="81">
      <c r="A81" s="7" t="s">
        <v>299</v>
      </c>
      <c r="B81" s="7" t="s">
        <v>300</v>
      </c>
      <c r="C81" s="3"/>
      <c r="D81" s="3"/>
      <c r="E81" s="3"/>
      <c r="F81" s="3"/>
      <c r="G81" s="3"/>
      <c r="H81" s="3"/>
      <c r="I81" s="3"/>
      <c r="J81" s="3"/>
      <c r="K81" s="3"/>
      <c r="L81" s="3"/>
      <c r="M81" s="3"/>
      <c r="N81" s="3"/>
      <c r="O81" s="3"/>
      <c r="P81" s="3"/>
      <c r="Q81" s="3"/>
      <c r="R81" s="3"/>
      <c r="S81" s="3"/>
      <c r="T81" s="3"/>
      <c r="U81" s="3"/>
      <c r="V81" s="3"/>
      <c r="W81" s="3"/>
      <c r="X81" s="3"/>
      <c r="Y81" s="3"/>
      <c r="Z81" s="3"/>
    </row>
    <row r="82">
      <c r="A82" s="17" t="s">
        <v>301</v>
      </c>
      <c r="B82" s="17" t="s">
        <v>302</v>
      </c>
      <c r="C82" s="3"/>
      <c r="D82" s="3"/>
      <c r="E82" s="3"/>
      <c r="F82" s="3"/>
      <c r="G82" s="3"/>
      <c r="H82" s="3"/>
      <c r="I82" s="3"/>
      <c r="J82" s="3"/>
      <c r="K82" s="3"/>
      <c r="L82" s="3"/>
      <c r="M82" s="3"/>
      <c r="N82" s="3"/>
      <c r="O82" s="3"/>
      <c r="P82" s="3"/>
      <c r="Q82" s="3"/>
      <c r="R82" s="3"/>
      <c r="S82" s="3"/>
      <c r="T82" s="3"/>
      <c r="U82" s="3"/>
      <c r="V82" s="3"/>
      <c r="W82" s="3"/>
      <c r="X82" s="3"/>
      <c r="Y82" s="3"/>
      <c r="Z82" s="3"/>
    </row>
    <row r="83">
      <c r="A83" s="17" t="s">
        <v>303</v>
      </c>
      <c r="B83" s="17" t="s">
        <v>304</v>
      </c>
      <c r="C83" s="3"/>
      <c r="D83" s="3"/>
      <c r="E83" s="3"/>
      <c r="F83" s="3"/>
      <c r="G83" s="3"/>
      <c r="H83" s="3"/>
      <c r="I83" s="3"/>
      <c r="J83" s="3"/>
      <c r="K83" s="3"/>
      <c r="L83" s="3"/>
      <c r="M83" s="3"/>
      <c r="N83" s="3"/>
      <c r="O83" s="3"/>
      <c r="P83" s="3"/>
      <c r="Q83" s="3"/>
      <c r="R83" s="3"/>
      <c r="S83" s="3"/>
      <c r="T83" s="3"/>
      <c r="U83" s="3"/>
      <c r="V83" s="3"/>
      <c r="W83" s="3"/>
      <c r="X83" s="3"/>
      <c r="Y83" s="3"/>
      <c r="Z83" s="3"/>
    </row>
    <row r="84">
      <c r="A84" s="17" t="s">
        <v>305</v>
      </c>
      <c r="B84" s="17" t="s">
        <v>306</v>
      </c>
      <c r="C84" s="3"/>
      <c r="D84" s="3"/>
      <c r="E84" s="3"/>
      <c r="F84" s="3"/>
      <c r="G84" s="3"/>
      <c r="H84" s="3"/>
      <c r="I84" s="3"/>
      <c r="J84" s="3"/>
      <c r="K84" s="3"/>
      <c r="L84" s="3"/>
      <c r="M84" s="3"/>
      <c r="N84" s="3"/>
      <c r="O84" s="3"/>
      <c r="P84" s="3"/>
      <c r="Q84" s="3"/>
      <c r="R84" s="3"/>
      <c r="S84" s="3"/>
      <c r="T84" s="3"/>
      <c r="U84" s="3"/>
      <c r="V84" s="3"/>
      <c r="W84" s="3"/>
      <c r="X84" s="3"/>
      <c r="Y84" s="3"/>
      <c r="Z84" s="3"/>
    </row>
    <row r="85">
      <c r="A85" s="17" t="s">
        <v>307</v>
      </c>
      <c r="B85" s="17" t="s">
        <v>308</v>
      </c>
      <c r="C85" s="3"/>
      <c r="D85" s="3"/>
      <c r="E85" s="3"/>
      <c r="F85" s="3"/>
      <c r="G85" s="3"/>
      <c r="H85" s="3"/>
      <c r="I85" s="3"/>
      <c r="J85" s="3"/>
      <c r="K85" s="3"/>
      <c r="L85" s="3"/>
      <c r="M85" s="3"/>
      <c r="N85" s="3"/>
      <c r="O85" s="3"/>
      <c r="P85" s="3"/>
      <c r="Q85" s="3"/>
      <c r="R85" s="3"/>
      <c r="S85" s="3"/>
      <c r="T85" s="3"/>
      <c r="U85" s="3"/>
      <c r="V85" s="3"/>
      <c r="W85" s="3"/>
      <c r="X85" s="3"/>
      <c r="Y85" s="3"/>
      <c r="Z85" s="3"/>
    </row>
    <row r="86">
      <c r="A86" s="17" t="s">
        <v>312</v>
      </c>
      <c r="B86" s="17" t="s">
        <v>313</v>
      </c>
      <c r="C86" s="3"/>
      <c r="D86" s="3"/>
      <c r="E86" s="3"/>
      <c r="F86" s="3"/>
      <c r="G86" s="3"/>
      <c r="H86" s="3"/>
      <c r="I86" s="3"/>
      <c r="J86" s="3"/>
      <c r="K86" s="3"/>
      <c r="L86" s="3"/>
      <c r="M86" s="3"/>
      <c r="N86" s="3"/>
      <c r="O86" s="3"/>
      <c r="P86" s="3"/>
      <c r="Q86" s="3"/>
      <c r="R86" s="3"/>
      <c r="S86" s="3"/>
      <c r="T86" s="3"/>
      <c r="U86" s="3"/>
      <c r="V86" s="3"/>
      <c r="W86" s="3"/>
      <c r="X86" s="3"/>
      <c r="Y86" s="3"/>
      <c r="Z86" s="3"/>
    </row>
    <row r="87">
      <c r="A87" s="5" t="s">
        <v>205</v>
      </c>
      <c r="B87" s="5" t="s">
        <v>206</v>
      </c>
      <c r="C87" s="3"/>
      <c r="D87" s="3"/>
      <c r="E87" s="3"/>
      <c r="F87" s="3"/>
      <c r="G87" s="3"/>
      <c r="H87" s="3"/>
      <c r="I87" s="3"/>
      <c r="J87" s="3"/>
      <c r="K87" s="3"/>
      <c r="L87" s="3"/>
      <c r="M87" s="3"/>
      <c r="N87" s="3"/>
      <c r="O87" s="3"/>
      <c r="P87" s="3"/>
      <c r="Q87" s="3"/>
      <c r="R87" s="3"/>
      <c r="S87" s="3"/>
      <c r="T87" s="3"/>
      <c r="U87" s="3"/>
      <c r="V87" s="3"/>
      <c r="W87" s="3"/>
      <c r="X87" s="3"/>
      <c r="Y87" s="3"/>
      <c r="Z87" s="3"/>
    </row>
    <row r="88">
      <c r="A88" s="5" t="s">
        <v>315</v>
      </c>
      <c r="B88" s="5" t="s">
        <v>316</v>
      </c>
      <c r="C88" s="3"/>
      <c r="D88" s="3"/>
      <c r="E88" s="3"/>
      <c r="F88" s="3"/>
      <c r="G88" s="3"/>
      <c r="H88" s="3"/>
      <c r="I88" s="3"/>
      <c r="J88" s="3"/>
      <c r="K88" s="3"/>
      <c r="L88" s="3"/>
      <c r="M88" s="3"/>
      <c r="N88" s="3"/>
      <c r="O88" s="3"/>
      <c r="P88" s="3"/>
      <c r="Q88" s="3"/>
      <c r="R88" s="3"/>
      <c r="S88" s="3"/>
      <c r="T88" s="3"/>
      <c r="U88" s="3"/>
      <c r="V88" s="3"/>
      <c r="W88" s="3"/>
      <c r="X88" s="3"/>
      <c r="Y88" s="3"/>
      <c r="Z88" s="3"/>
    </row>
    <row r="89">
      <c r="A89" s="5" t="s">
        <v>317</v>
      </c>
      <c r="B89" s="5" t="s">
        <v>318</v>
      </c>
      <c r="C89" s="3"/>
      <c r="D89" s="3"/>
      <c r="E89" s="3"/>
      <c r="F89" s="3"/>
      <c r="G89" s="3"/>
      <c r="H89" s="3"/>
      <c r="I89" s="3"/>
      <c r="J89" s="3"/>
      <c r="K89" s="3"/>
      <c r="L89" s="3"/>
      <c r="M89" s="3"/>
      <c r="N89" s="3"/>
      <c r="O89" s="3"/>
      <c r="P89" s="3"/>
      <c r="Q89" s="3"/>
      <c r="R89" s="3"/>
      <c r="S89" s="3"/>
      <c r="T89" s="3"/>
      <c r="U89" s="3"/>
      <c r="V89" s="3"/>
      <c r="W89" s="3"/>
      <c r="X89" s="3"/>
      <c r="Y89" s="3"/>
      <c r="Z89" s="3"/>
    </row>
    <row r="90">
      <c r="A90" s="5" t="s">
        <v>319</v>
      </c>
      <c r="B90" s="5" t="s">
        <v>320</v>
      </c>
      <c r="C90" s="3"/>
      <c r="D90" s="3"/>
      <c r="E90" s="3"/>
      <c r="F90" s="3"/>
      <c r="G90" s="3"/>
      <c r="H90" s="3"/>
      <c r="I90" s="3"/>
      <c r="J90" s="3"/>
      <c r="K90" s="3"/>
      <c r="L90" s="3"/>
      <c r="M90" s="3"/>
      <c r="N90" s="3"/>
      <c r="O90" s="3"/>
      <c r="P90" s="3"/>
      <c r="Q90" s="3"/>
      <c r="R90" s="3"/>
      <c r="S90" s="3"/>
      <c r="T90" s="3"/>
      <c r="U90" s="3"/>
      <c r="V90" s="3"/>
      <c r="W90" s="3"/>
      <c r="X90" s="3"/>
      <c r="Y90" s="3"/>
      <c r="Z90" s="3"/>
    </row>
    <row r="91">
      <c r="A91" s="17" t="s">
        <v>322</v>
      </c>
      <c r="B91" s="17" t="s">
        <v>324</v>
      </c>
      <c r="C91" s="3"/>
      <c r="D91" s="3"/>
      <c r="E91" s="3"/>
      <c r="F91" s="3"/>
      <c r="G91" s="3"/>
      <c r="H91" s="3"/>
      <c r="I91" s="3"/>
      <c r="J91" s="3"/>
      <c r="K91" s="3"/>
      <c r="L91" s="3"/>
      <c r="M91" s="3"/>
      <c r="N91" s="3"/>
      <c r="O91" s="3"/>
      <c r="P91" s="3"/>
      <c r="Q91" s="3"/>
      <c r="R91" s="3"/>
      <c r="S91" s="3"/>
      <c r="T91" s="3"/>
      <c r="U91" s="3"/>
      <c r="V91" s="3"/>
      <c r="W91" s="3"/>
      <c r="X91" s="3"/>
      <c r="Y91" s="3"/>
      <c r="Z91" s="3"/>
    </row>
    <row r="92">
      <c r="A92" s="17" t="s">
        <v>325</v>
      </c>
      <c r="B92" s="17" t="s">
        <v>326</v>
      </c>
      <c r="C92" s="3"/>
      <c r="D92" s="3"/>
      <c r="E92" s="3"/>
      <c r="F92" s="3"/>
      <c r="G92" s="3"/>
      <c r="H92" s="3"/>
      <c r="I92" s="3"/>
      <c r="J92" s="3"/>
      <c r="K92" s="3"/>
      <c r="L92" s="3"/>
      <c r="M92" s="3"/>
      <c r="N92" s="3"/>
      <c r="O92" s="3"/>
      <c r="P92" s="3"/>
      <c r="Q92" s="3"/>
      <c r="R92" s="3"/>
      <c r="S92" s="3"/>
      <c r="T92" s="3"/>
      <c r="U92" s="3"/>
      <c r="V92" s="3"/>
      <c r="W92" s="3"/>
      <c r="X92" s="3"/>
      <c r="Y92" s="3"/>
      <c r="Z92" s="3"/>
    </row>
    <row r="93">
      <c r="A93" s="17" t="s">
        <v>327</v>
      </c>
      <c r="B93" s="17" t="s">
        <v>328</v>
      </c>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4" max="14" width="12.88"/>
    <col customWidth="1" min="17" max="17" width="12.75"/>
  </cols>
  <sheetData>
    <row r="1" ht="22.5" customHeight="1">
      <c r="A1" s="22" t="s">
        <v>1</v>
      </c>
      <c r="B1" s="22" t="s">
        <v>331</v>
      </c>
      <c r="C1" s="22" t="s">
        <v>332</v>
      </c>
      <c r="D1" s="23" t="s">
        <v>333</v>
      </c>
      <c r="E1" s="22" t="s">
        <v>334</v>
      </c>
      <c r="F1" s="22" t="s">
        <v>335</v>
      </c>
      <c r="G1" s="23" t="s">
        <v>336</v>
      </c>
      <c r="H1" s="22" t="s">
        <v>337</v>
      </c>
      <c r="I1" s="22" t="s">
        <v>338</v>
      </c>
      <c r="J1" s="23" t="s">
        <v>339</v>
      </c>
      <c r="K1" s="22" t="s">
        <v>340</v>
      </c>
      <c r="L1" s="22" t="s">
        <v>341</v>
      </c>
      <c r="M1" s="23" t="s">
        <v>342</v>
      </c>
      <c r="N1" s="22" t="s">
        <v>343</v>
      </c>
      <c r="O1" s="22" t="s">
        <v>344</v>
      </c>
      <c r="P1" s="23" t="s">
        <v>345</v>
      </c>
      <c r="Q1" s="22" t="s">
        <v>346</v>
      </c>
      <c r="R1" s="22" t="s">
        <v>347</v>
      </c>
      <c r="S1" s="23" t="s">
        <v>348</v>
      </c>
      <c r="T1" s="22" t="s">
        <v>349</v>
      </c>
      <c r="U1" s="22" t="s">
        <v>350</v>
      </c>
      <c r="V1" s="23" t="s">
        <v>351</v>
      </c>
      <c r="W1" s="22" t="s">
        <v>352</v>
      </c>
      <c r="X1" s="22" t="s">
        <v>353</v>
      </c>
      <c r="Y1" s="23" t="s">
        <v>354</v>
      </c>
      <c r="Z1" s="22" t="s">
        <v>355</v>
      </c>
      <c r="AA1" s="22" t="s">
        <v>356</v>
      </c>
      <c r="AB1" s="23" t="s">
        <v>357</v>
      </c>
      <c r="AC1" s="23" t="s">
        <v>358</v>
      </c>
      <c r="AD1" s="23" t="s">
        <v>359</v>
      </c>
      <c r="AE1" s="23" t="s">
        <v>360</v>
      </c>
      <c r="AF1" s="23" t="s">
        <v>361</v>
      </c>
      <c r="AG1" s="22" t="s">
        <v>362</v>
      </c>
      <c r="AH1" s="23" t="s">
        <v>363</v>
      </c>
      <c r="AI1" s="23" t="s">
        <v>364</v>
      </c>
      <c r="AJ1" s="24" t="s">
        <v>365</v>
      </c>
      <c r="AK1" s="25"/>
      <c r="AL1" s="25"/>
      <c r="AM1" s="25"/>
      <c r="AN1" s="25"/>
      <c r="AO1" s="25"/>
      <c r="AP1" s="25"/>
      <c r="AQ1" s="25"/>
    </row>
    <row r="2" ht="22.5" customHeight="1">
      <c r="A2" s="26" t="s">
        <v>7</v>
      </c>
      <c r="B2" s="26" t="s">
        <v>25</v>
      </c>
      <c r="C2" s="26" t="s">
        <v>27</v>
      </c>
      <c r="D2" s="26">
        <v>0.0</v>
      </c>
      <c r="E2" s="26" t="s">
        <v>26</v>
      </c>
      <c r="F2" s="26" t="s">
        <v>37</v>
      </c>
      <c r="G2" s="26">
        <v>3000.0</v>
      </c>
      <c r="H2" s="26" t="s">
        <v>36</v>
      </c>
      <c r="I2" s="26" t="s">
        <v>40</v>
      </c>
      <c r="J2" s="26">
        <v>0.0</v>
      </c>
      <c r="K2" s="26" t="s">
        <v>39</v>
      </c>
      <c r="L2" s="26" t="s">
        <v>44</v>
      </c>
      <c r="M2" s="26">
        <v>6400.0</v>
      </c>
      <c r="N2" s="26" t="s">
        <v>43</v>
      </c>
      <c r="O2" s="26" t="s">
        <v>47</v>
      </c>
      <c r="P2" s="26">
        <v>3500.0</v>
      </c>
      <c r="Q2" s="26" t="s">
        <v>46</v>
      </c>
      <c r="R2" s="26" t="s">
        <v>40</v>
      </c>
      <c r="S2" s="26">
        <v>0.0</v>
      </c>
      <c r="T2" s="26" t="s">
        <v>52</v>
      </c>
      <c r="U2" s="26">
        <v>1.0</v>
      </c>
      <c r="V2" s="26">
        <v>0.0</v>
      </c>
      <c r="W2" s="26" t="s">
        <v>53</v>
      </c>
      <c r="X2" s="27"/>
      <c r="Y2" s="27"/>
      <c r="Z2" s="26" t="s">
        <v>53</v>
      </c>
      <c r="AA2" s="27"/>
      <c r="AB2" s="27"/>
      <c r="AC2" s="27"/>
      <c r="AD2" s="27"/>
      <c r="AE2" s="27"/>
      <c r="AF2" s="27"/>
      <c r="AG2" s="27"/>
      <c r="AH2" s="27"/>
      <c r="AI2" s="27"/>
      <c r="AJ2" s="27">
        <f t="shared" ref="AJ2:AJ93" si="1">D2+G2+J2+M2+P2+S2+V2+Y2+AB2+AE2+AH2</f>
        <v>12900</v>
      </c>
      <c r="AK2" s="25"/>
      <c r="AL2" s="25"/>
      <c r="AM2" s="25"/>
      <c r="AN2" s="25"/>
      <c r="AO2" s="25"/>
      <c r="AP2" s="25"/>
      <c r="AQ2" s="25"/>
    </row>
    <row r="3" ht="22.5" customHeight="1">
      <c r="A3" s="28" t="s">
        <v>16</v>
      </c>
      <c r="B3" s="28" t="s">
        <v>25</v>
      </c>
      <c r="C3" s="28" t="s">
        <v>61</v>
      </c>
      <c r="D3" s="28">
        <v>3500.0</v>
      </c>
      <c r="E3" s="28" t="s">
        <v>60</v>
      </c>
      <c r="F3" s="28" t="s">
        <v>65</v>
      </c>
      <c r="G3" s="28">
        <v>3000.0</v>
      </c>
      <c r="H3" s="28" t="s">
        <v>63</v>
      </c>
      <c r="I3" s="28" t="s">
        <v>40</v>
      </c>
      <c r="J3" s="28">
        <v>0.0</v>
      </c>
      <c r="K3" s="28" t="s">
        <v>66</v>
      </c>
      <c r="L3" s="28" t="s">
        <v>71</v>
      </c>
      <c r="M3" s="28">
        <v>7000.0</v>
      </c>
      <c r="N3" s="28" t="s">
        <v>69</v>
      </c>
      <c r="O3" s="28" t="s">
        <v>40</v>
      </c>
      <c r="P3" s="28">
        <v>0.0</v>
      </c>
      <c r="Q3" s="28" t="s">
        <v>53</v>
      </c>
      <c r="R3" s="30"/>
      <c r="S3" s="30"/>
      <c r="T3" s="30"/>
      <c r="U3" s="30"/>
      <c r="V3" s="30"/>
      <c r="W3" s="30"/>
      <c r="X3" s="30"/>
      <c r="Y3" s="30"/>
      <c r="Z3" s="30"/>
      <c r="AA3" s="30"/>
      <c r="AB3" s="30"/>
      <c r="AC3" s="30"/>
      <c r="AD3" s="30"/>
      <c r="AE3" s="30"/>
      <c r="AF3" s="30"/>
      <c r="AG3" s="30"/>
      <c r="AH3" s="30"/>
      <c r="AI3" s="30"/>
      <c r="AJ3" s="32">
        <f t="shared" si="1"/>
        <v>13500</v>
      </c>
      <c r="AK3" s="33"/>
      <c r="AL3" s="33"/>
      <c r="AM3" s="33"/>
      <c r="AN3" s="33"/>
      <c r="AO3" s="33"/>
      <c r="AP3" s="33"/>
      <c r="AQ3" s="33"/>
    </row>
    <row r="4" ht="22.5" customHeight="1">
      <c r="A4" s="34" t="s">
        <v>226</v>
      </c>
      <c r="B4" s="34" t="s">
        <v>25</v>
      </c>
      <c r="C4" s="34" t="s">
        <v>61</v>
      </c>
      <c r="D4" s="34"/>
      <c r="E4" s="34" t="s">
        <v>60</v>
      </c>
      <c r="F4" s="34" t="s">
        <v>65</v>
      </c>
      <c r="G4" s="34"/>
      <c r="H4" s="34" t="s">
        <v>63</v>
      </c>
      <c r="I4" s="34" t="s">
        <v>40</v>
      </c>
      <c r="J4" s="34"/>
      <c r="K4" s="34" t="s">
        <v>79</v>
      </c>
      <c r="L4" s="34">
        <v>1.0</v>
      </c>
      <c r="M4" s="34"/>
      <c r="N4" s="34" t="s">
        <v>215</v>
      </c>
      <c r="O4" s="34">
        <v>1.0</v>
      </c>
      <c r="P4" s="34"/>
      <c r="Q4" s="34" t="s">
        <v>53</v>
      </c>
      <c r="R4" s="35"/>
      <c r="S4" s="35"/>
      <c r="T4" s="34" t="s">
        <v>53</v>
      </c>
      <c r="U4" s="35"/>
      <c r="V4" s="35"/>
      <c r="W4" s="35"/>
      <c r="X4" s="35"/>
      <c r="Y4" s="35"/>
      <c r="Z4" s="35"/>
      <c r="AA4" s="35"/>
      <c r="AB4" s="35"/>
      <c r="AC4" s="35"/>
      <c r="AD4" s="35"/>
      <c r="AE4" s="35"/>
      <c r="AF4" s="35"/>
      <c r="AG4" s="35"/>
      <c r="AH4" s="35"/>
      <c r="AI4" s="35"/>
      <c r="AJ4" s="32">
        <f t="shared" si="1"/>
        <v>0</v>
      </c>
      <c r="AK4" s="25"/>
      <c r="AL4" s="25"/>
      <c r="AM4" s="25"/>
      <c r="AN4" s="25"/>
      <c r="AO4" s="25"/>
      <c r="AP4" s="25"/>
      <c r="AQ4" s="25"/>
    </row>
    <row r="5" ht="22.5" customHeight="1">
      <c r="A5" s="28" t="s">
        <v>23</v>
      </c>
      <c r="B5" s="28" t="s">
        <v>25</v>
      </c>
      <c r="C5" s="28" t="s">
        <v>61</v>
      </c>
      <c r="D5" s="28">
        <v>3500.0</v>
      </c>
      <c r="E5" s="28" t="s">
        <v>60</v>
      </c>
      <c r="F5" s="28" t="s">
        <v>65</v>
      </c>
      <c r="G5" s="28">
        <v>3000.0</v>
      </c>
      <c r="H5" s="28" t="s">
        <v>63</v>
      </c>
      <c r="I5" s="28" t="s">
        <v>40</v>
      </c>
      <c r="J5" s="28">
        <v>0.0</v>
      </c>
      <c r="K5" s="28" t="s">
        <v>79</v>
      </c>
      <c r="L5" s="28">
        <v>1.0</v>
      </c>
      <c r="M5" s="28">
        <v>3500.0</v>
      </c>
      <c r="N5" s="28" t="s">
        <v>53</v>
      </c>
      <c r="O5" s="30"/>
      <c r="P5" s="28">
        <v>0.0</v>
      </c>
      <c r="Q5" s="28" t="s">
        <v>53</v>
      </c>
      <c r="R5" s="30"/>
      <c r="S5" s="30"/>
      <c r="T5" s="30"/>
      <c r="U5" s="30"/>
      <c r="V5" s="30"/>
      <c r="W5" s="30"/>
      <c r="X5" s="30"/>
      <c r="Y5" s="30"/>
      <c r="Z5" s="30"/>
      <c r="AA5" s="30"/>
      <c r="AB5" s="30"/>
      <c r="AC5" s="30"/>
      <c r="AD5" s="30"/>
      <c r="AE5" s="30"/>
      <c r="AF5" s="30"/>
      <c r="AG5" s="30"/>
      <c r="AH5" s="30"/>
      <c r="AI5" s="30"/>
      <c r="AJ5" s="32">
        <f t="shared" si="1"/>
        <v>10000</v>
      </c>
      <c r="AK5" s="33"/>
      <c r="AL5" s="33"/>
      <c r="AM5" s="33"/>
      <c r="AN5" s="33"/>
      <c r="AO5" s="33"/>
      <c r="AP5" s="33"/>
      <c r="AQ5" s="33"/>
    </row>
    <row r="6" ht="22.5" customHeight="1">
      <c r="A6" s="28" t="s">
        <v>229</v>
      </c>
      <c r="B6" s="28" t="s">
        <v>25</v>
      </c>
      <c r="C6" s="28" t="s">
        <v>61</v>
      </c>
      <c r="D6" s="28">
        <v>3500.0</v>
      </c>
      <c r="E6" s="28" t="s">
        <v>60</v>
      </c>
      <c r="F6" s="28">
        <v>4.0</v>
      </c>
      <c r="G6" s="28">
        <v>3500.0</v>
      </c>
      <c r="H6" s="28" t="s">
        <v>87</v>
      </c>
      <c r="I6" s="28" t="s">
        <v>40</v>
      </c>
      <c r="J6" s="28">
        <v>0.0</v>
      </c>
      <c r="K6" s="28" t="s">
        <v>79</v>
      </c>
      <c r="L6" s="28">
        <v>1.0</v>
      </c>
      <c r="M6" s="28">
        <v>0.0</v>
      </c>
      <c r="N6" s="28" t="s">
        <v>215</v>
      </c>
      <c r="O6" s="28">
        <v>1.0</v>
      </c>
      <c r="P6" s="28">
        <v>0.0</v>
      </c>
      <c r="Q6" s="28" t="s">
        <v>53</v>
      </c>
      <c r="R6" s="30"/>
      <c r="S6" s="30"/>
      <c r="T6" s="28" t="s">
        <v>53</v>
      </c>
      <c r="U6" s="30"/>
      <c r="V6" s="30"/>
      <c r="W6" s="30"/>
      <c r="X6" s="30"/>
      <c r="Y6" s="30"/>
      <c r="Z6" s="30"/>
      <c r="AA6" s="30"/>
      <c r="AB6" s="30"/>
      <c r="AC6" s="30"/>
      <c r="AD6" s="30"/>
      <c r="AE6" s="30"/>
      <c r="AF6" s="30"/>
      <c r="AG6" s="30"/>
      <c r="AH6" s="30"/>
      <c r="AI6" s="30"/>
      <c r="AJ6" s="32">
        <f t="shared" si="1"/>
        <v>7000</v>
      </c>
      <c r="AK6" s="33"/>
      <c r="AL6" s="33"/>
      <c r="AM6" s="33"/>
      <c r="AN6" s="33"/>
      <c r="AO6" s="33"/>
      <c r="AP6" s="33"/>
      <c r="AQ6" s="33"/>
    </row>
    <row r="7" ht="22.5" customHeight="1">
      <c r="A7" s="34" t="s">
        <v>28</v>
      </c>
      <c r="B7" s="34" t="s">
        <v>25</v>
      </c>
      <c r="C7" s="34" t="s">
        <v>61</v>
      </c>
      <c r="D7" s="34">
        <v>3500.0</v>
      </c>
      <c r="E7" s="34" t="s">
        <v>60</v>
      </c>
      <c r="F7" s="34">
        <v>4.0</v>
      </c>
      <c r="G7" s="34">
        <v>3500.0</v>
      </c>
      <c r="H7" s="34" t="s">
        <v>87</v>
      </c>
      <c r="I7" s="34" t="s">
        <v>40</v>
      </c>
      <c r="J7" s="34">
        <v>0.0</v>
      </c>
      <c r="K7" s="34" t="s">
        <v>79</v>
      </c>
      <c r="L7" s="34">
        <v>1.0</v>
      </c>
      <c r="M7" s="34">
        <v>0.0</v>
      </c>
      <c r="N7" s="34" t="s">
        <v>53</v>
      </c>
      <c r="O7" s="35"/>
      <c r="P7" s="35"/>
      <c r="Q7" s="34" t="s">
        <v>53</v>
      </c>
      <c r="R7" s="35"/>
      <c r="S7" s="35"/>
      <c r="T7" s="35"/>
      <c r="U7" s="35"/>
      <c r="V7" s="35"/>
      <c r="W7" s="35"/>
      <c r="X7" s="35"/>
      <c r="Y7" s="35"/>
      <c r="Z7" s="35"/>
      <c r="AA7" s="35"/>
      <c r="AB7" s="35"/>
      <c r="AC7" s="35"/>
      <c r="AD7" s="35"/>
      <c r="AE7" s="35"/>
      <c r="AF7" s="35"/>
      <c r="AG7" s="35"/>
      <c r="AH7" s="35"/>
      <c r="AI7" s="35"/>
      <c r="AJ7" s="32">
        <f t="shared" si="1"/>
        <v>7000</v>
      </c>
      <c r="AK7" s="36"/>
      <c r="AL7" s="36"/>
      <c r="AM7" s="36"/>
      <c r="AN7" s="36"/>
      <c r="AO7" s="36"/>
      <c r="AP7" s="36"/>
      <c r="AQ7" s="36"/>
    </row>
    <row r="8" ht="22.5" customHeight="1">
      <c r="A8" s="28" t="s">
        <v>31</v>
      </c>
      <c r="B8" s="28" t="s">
        <v>25</v>
      </c>
      <c r="C8" s="28" t="s">
        <v>95</v>
      </c>
      <c r="D8" s="28">
        <v>3500.0</v>
      </c>
      <c r="E8" s="28" t="s">
        <v>94</v>
      </c>
      <c r="F8" s="28" t="s">
        <v>40</v>
      </c>
      <c r="G8" s="28">
        <v>0.0</v>
      </c>
      <c r="H8" s="28" t="s">
        <v>98</v>
      </c>
      <c r="I8" s="28" t="s">
        <v>71</v>
      </c>
      <c r="J8" s="28">
        <v>7000.0</v>
      </c>
      <c r="K8" s="28" t="s">
        <v>69</v>
      </c>
      <c r="L8" s="28"/>
      <c r="M8" s="28">
        <v>0.0</v>
      </c>
      <c r="N8" s="28" t="s">
        <v>53</v>
      </c>
      <c r="O8" s="30"/>
      <c r="P8" s="30"/>
      <c r="Q8" s="30"/>
      <c r="R8" s="30"/>
      <c r="S8" s="30"/>
      <c r="T8" s="30"/>
      <c r="U8" s="30"/>
      <c r="V8" s="30"/>
      <c r="W8" s="30"/>
      <c r="X8" s="30"/>
      <c r="Y8" s="30"/>
      <c r="Z8" s="30"/>
      <c r="AA8" s="30"/>
      <c r="AB8" s="30"/>
      <c r="AC8" s="30"/>
      <c r="AD8" s="30"/>
      <c r="AE8" s="30"/>
      <c r="AF8" s="30"/>
      <c r="AG8" s="30"/>
      <c r="AH8" s="30"/>
      <c r="AI8" s="30"/>
      <c r="AJ8" s="32">
        <f t="shared" si="1"/>
        <v>10500</v>
      </c>
      <c r="AK8" s="33"/>
      <c r="AL8" s="33"/>
      <c r="AM8" s="33"/>
      <c r="AN8" s="33"/>
      <c r="AO8" s="33"/>
      <c r="AP8" s="33"/>
      <c r="AQ8" s="33"/>
    </row>
    <row r="9" ht="22.5" customHeight="1">
      <c r="A9" s="28" t="s">
        <v>34</v>
      </c>
      <c r="B9" s="28" t="s">
        <v>25</v>
      </c>
      <c r="C9" s="28" t="s">
        <v>27</v>
      </c>
      <c r="D9" s="28">
        <v>0.0</v>
      </c>
      <c r="E9" s="28" t="s">
        <v>26</v>
      </c>
      <c r="F9" s="28" t="s">
        <v>37</v>
      </c>
      <c r="G9" s="28">
        <v>3000.0</v>
      </c>
      <c r="H9" s="28" t="s">
        <v>108</v>
      </c>
      <c r="I9" s="28" t="s">
        <v>40</v>
      </c>
      <c r="J9" s="28">
        <v>0.0</v>
      </c>
      <c r="K9" s="28" t="s">
        <v>110</v>
      </c>
      <c r="L9" s="28" t="s">
        <v>114</v>
      </c>
      <c r="M9" s="28">
        <v>3500.0</v>
      </c>
      <c r="N9" s="28" t="s">
        <v>112</v>
      </c>
      <c r="O9" s="28" t="s">
        <v>116</v>
      </c>
      <c r="P9" s="28">
        <v>0.0</v>
      </c>
      <c r="Q9" s="28" t="s">
        <v>115</v>
      </c>
      <c r="R9" s="28"/>
      <c r="S9" s="28"/>
      <c r="T9" s="28" t="s">
        <v>53</v>
      </c>
      <c r="U9" s="30"/>
      <c r="V9" s="30"/>
      <c r="W9" s="30"/>
      <c r="X9" s="30"/>
      <c r="Y9" s="30"/>
      <c r="Z9" s="30"/>
      <c r="AA9" s="30"/>
      <c r="AB9" s="30"/>
      <c r="AC9" s="30"/>
      <c r="AD9" s="30"/>
      <c r="AE9" s="30"/>
      <c r="AF9" s="30"/>
      <c r="AG9" s="30"/>
      <c r="AH9" s="30"/>
      <c r="AI9" s="30"/>
      <c r="AJ9" s="32">
        <f t="shared" si="1"/>
        <v>6500</v>
      </c>
      <c r="AK9" s="33"/>
      <c r="AL9" s="33"/>
      <c r="AM9" s="33"/>
      <c r="AN9" s="33"/>
      <c r="AO9" s="33"/>
      <c r="AP9" s="33"/>
      <c r="AQ9" s="33"/>
    </row>
    <row r="10" ht="22.5" customHeight="1">
      <c r="A10" s="34" t="s">
        <v>109</v>
      </c>
      <c r="B10" s="34" t="s">
        <v>25</v>
      </c>
      <c r="C10" s="34" t="s">
        <v>27</v>
      </c>
      <c r="D10" s="34">
        <v>0.0</v>
      </c>
      <c r="E10" s="34" t="s">
        <v>26</v>
      </c>
      <c r="F10" s="34" t="s">
        <v>37</v>
      </c>
      <c r="G10" s="34">
        <v>3000.0</v>
      </c>
      <c r="H10" s="34" t="s">
        <v>108</v>
      </c>
      <c r="I10" s="34" t="s">
        <v>40</v>
      </c>
      <c r="J10" s="34">
        <v>0.0</v>
      </c>
      <c r="K10" s="34" t="s">
        <v>110</v>
      </c>
      <c r="L10" s="34" t="s">
        <v>114</v>
      </c>
      <c r="M10" s="34">
        <v>3500.0</v>
      </c>
      <c r="N10" s="34" t="s">
        <v>112</v>
      </c>
      <c r="O10" s="34" t="s">
        <v>129</v>
      </c>
      <c r="P10" s="34">
        <v>0.0</v>
      </c>
      <c r="Q10" s="34" t="s">
        <v>127</v>
      </c>
      <c r="R10" s="34"/>
      <c r="S10" s="34"/>
      <c r="T10" s="34" t="s">
        <v>53</v>
      </c>
      <c r="U10" s="35"/>
      <c r="V10" s="35"/>
      <c r="W10" s="35"/>
      <c r="X10" s="35"/>
      <c r="Y10" s="35"/>
      <c r="Z10" s="35"/>
      <c r="AA10" s="35"/>
      <c r="AB10" s="35"/>
      <c r="AC10" s="35"/>
      <c r="AD10" s="35"/>
      <c r="AE10" s="35"/>
      <c r="AF10" s="35"/>
      <c r="AG10" s="35"/>
      <c r="AH10" s="35"/>
      <c r="AI10" s="35"/>
      <c r="AJ10" s="32">
        <f t="shared" si="1"/>
        <v>6500</v>
      </c>
      <c r="AK10" s="36"/>
      <c r="AL10" s="36"/>
      <c r="AM10" s="36"/>
      <c r="AN10" s="36"/>
      <c r="AO10" s="36"/>
      <c r="AP10" s="36"/>
      <c r="AQ10" s="36"/>
    </row>
    <row r="11" ht="22.5" customHeight="1">
      <c r="A11" s="34" t="s">
        <v>233</v>
      </c>
      <c r="B11" s="34" t="s">
        <v>25</v>
      </c>
      <c r="C11" s="34" t="s">
        <v>27</v>
      </c>
      <c r="D11" s="34">
        <v>0.0</v>
      </c>
      <c r="E11" s="34" t="s">
        <v>26</v>
      </c>
      <c r="F11" s="34" t="s">
        <v>37</v>
      </c>
      <c r="G11" s="34">
        <v>3000.0</v>
      </c>
      <c r="H11" s="34" t="s">
        <v>60</v>
      </c>
      <c r="I11" s="34" t="s">
        <v>65</v>
      </c>
      <c r="J11" s="34">
        <v>0.0</v>
      </c>
      <c r="K11" s="34" t="s">
        <v>63</v>
      </c>
      <c r="L11" s="34" t="s">
        <v>40</v>
      </c>
      <c r="M11" s="34">
        <v>0.0</v>
      </c>
      <c r="N11" s="34" t="s">
        <v>388</v>
      </c>
      <c r="O11" s="34" t="s">
        <v>389</v>
      </c>
      <c r="P11" s="34"/>
      <c r="Q11" s="34" t="s">
        <v>390</v>
      </c>
      <c r="R11" s="34" t="s">
        <v>40</v>
      </c>
      <c r="S11" s="34"/>
      <c r="T11" s="34" t="s">
        <v>391</v>
      </c>
      <c r="U11" s="34" t="s">
        <v>129</v>
      </c>
      <c r="V11" s="34"/>
      <c r="W11" s="34" t="s">
        <v>127</v>
      </c>
      <c r="X11" s="35"/>
      <c r="Y11" s="35"/>
      <c r="Z11" s="34" t="s">
        <v>53</v>
      </c>
      <c r="AA11" s="35"/>
      <c r="AB11" s="35"/>
      <c r="AC11" s="35"/>
      <c r="AD11" s="35"/>
      <c r="AE11" s="35"/>
      <c r="AF11" s="35"/>
      <c r="AG11" s="35"/>
      <c r="AH11" s="35"/>
      <c r="AI11" s="35"/>
      <c r="AJ11" s="32">
        <f t="shared" si="1"/>
        <v>3000</v>
      </c>
      <c r="AK11" s="36"/>
      <c r="AL11" s="36"/>
      <c r="AM11" s="36"/>
      <c r="AN11" s="36"/>
      <c r="AO11" s="36"/>
      <c r="AP11" s="36"/>
      <c r="AQ11" s="36"/>
    </row>
    <row r="12" ht="22.5" customHeight="1">
      <c r="A12" s="28" t="s">
        <v>41</v>
      </c>
      <c r="B12" s="28" t="s">
        <v>25</v>
      </c>
      <c r="C12" s="28" t="s">
        <v>27</v>
      </c>
      <c r="D12" s="28">
        <v>0.0</v>
      </c>
      <c r="E12" s="28" t="s">
        <v>26</v>
      </c>
      <c r="F12" s="28" t="s">
        <v>37</v>
      </c>
      <c r="G12" s="28">
        <v>3000.0</v>
      </c>
      <c r="H12" s="28" t="s">
        <v>60</v>
      </c>
      <c r="I12" s="28" t="s">
        <v>65</v>
      </c>
      <c r="J12" s="28">
        <v>1000.0</v>
      </c>
      <c r="K12" s="28" t="s">
        <v>63</v>
      </c>
      <c r="L12" s="28" t="s">
        <v>40</v>
      </c>
      <c r="M12" s="28">
        <v>0.0</v>
      </c>
      <c r="N12" s="28" t="s">
        <v>66</v>
      </c>
      <c r="O12" s="28" t="s">
        <v>71</v>
      </c>
      <c r="P12" s="28">
        <v>7000.0</v>
      </c>
      <c r="Q12" s="28" t="s">
        <v>69</v>
      </c>
      <c r="R12" s="28"/>
      <c r="S12" s="28"/>
      <c r="T12" s="28" t="s">
        <v>53</v>
      </c>
      <c r="U12" s="30"/>
      <c r="V12" s="30"/>
      <c r="W12" s="30"/>
      <c r="X12" s="30"/>
      <c r="Y12" s="30"/>
      <c r="Z12" s="30"/>
      <c r="AA12" s="30"/>
      <c r="AB12" s="30"/>
      <c r="AC12" s="30"/>
      <c r="AD12" s="30"/>
      <c r="AE12" s="30"/>
      <c r="AF12" s="30"/>
      <c r="AG12" s="30"/>
      <c r="AH12" s="30"/>
      <c r="AI12" s="30"/>
      <c r="AJ12" s="32">
        <f t="shared" si="1"/>
        <v>11000</v>
      </c>
      <c r="AK12" s="33"/>
      <c r="AL12" s="33"/>
      <c r="AM12" s="33"/>
      <c r="AN12" s="33"/>
      <c r="AO12" s="33"/>
      <c r="AP12" s="33"/>
      <c r="AQ12" s="33"/>
    </row>
    <row r="13" ht="22.5" customHeight="1">
      <c r="A13" s="28" t="s">
        <v>235</v>
      </c>
      <c r="B13" s="28" t="s">
        <v>25</v>
      </c>
      <c r="C13" s="28" t="s">
        <v>27</v>
      </c>
      <c r="D13" s="28">
        <v>0.0</v>
      </c>
      <c r="E13" s="28" t="s">
        <v>26</v>
      </c>
      <c r="F13" s="28" t="s">
        <v>37</v>
      </c>
      <c r="G13" s="28">
        <v>3000.0</v>
      </c>
      <c r="H13" s="28" t="s">
        <v>60</v>
      </c>
      <c r="I13" s="28" t="s">
        <v>65</v>
      </c>
      <c r="J13" s="28">
        <v>1000.0</v>
      </c>
      <c r="K13" s="28" t="s">
        <v>63</v>
      </c>
      <c r="L13" s="28" t="s">
        <v>40</v>
      </c>
      <c r="M13" s="28">
        <v>0.0</v>
      </c>
      <c r="N13" s="28" t="s">
        <v>79</v>
      </c>
      <c r="O13" s="28">
        <v>1.0</v>
      </c>
      <c r="P13" s="28">
        <v>3500.0</v>
      </c>
      <c r="Q13" s="28" t="s">
        <v>215</v>
      </c>
      <c r="R13" s="28">
        <v>1.0</v>
      </c>
      <c r="S13" s="28">
        <v>0.0</v>
      </c>
      <c r="T13" s="28" t="s">
        <v>53</v>
      </c>
      <c r="U13" s="30"/>
      <c r="V13" s="30"/>
      <c r="W13" s="28" t="s">
        <v>53</v>
      </c>
      <c r="X13" s="30"/>
      <c r="Y13" s="30"/>
      <c r="Z13" s="30"/>
      <c r="AA13" s="30"/>
      <c r="AB13" s="30"/>
      <c r="AC13" s="30"/>
      <c r="AD13" s="30"/>
      <c r="AE13" s="30"/>
      <c r="AF13" s="30"/>
      <c r="AG13" s="30"/>
      <c r="AH13" s="30"/>
      <c r="AI13" s="30"/>
      <c r="AJ13" s="32">
        <f t="shared" si="1"/>
        <v>7500</v>
      </c>
      <c r="AK13" s="33"/>
      <c r="AL13" s="33"/>
      <c r="AM13" s="33"/>
      <c r="AN13" s="33"/>
      <c r="AO13" s="33"/>
      <c r="AP13" s="33"/>
      <c r="AQ13" s="33"/>
    </row>
    <row r="14" ht="22.5" customHeight="1">
      <c r="A14" s="34" t="s">
        <v>48</v>
      </c>
      <c r="B14" s="34" t="s">
        <v>25</v>
      </c>
      <c r="C14" s="34" t="s">
        <v>27</v>
      </c>
      <c r="D14" s="34">
        <v>0.0</v>
      </c>
      <c r="E14" s="34" t="s">
        <v>26</v>
      </c>
      <c r="F14" s="34" t="s">
        <v>37</v>
      </c>
      <c r="G14" s="34">
        <v>3000.0</v>
      </c>
      <c r="H14" s="34" t="s">
        <v>60</v>
      </c>
      <c r="I14" s="34" t="s">
        <v>65</v>
      </c>
      <c r="J14" s="34">
        <v>1000.0</v>
      </c>
      <c r="K14" s="34" t="s">
        <v>63</v>
      </c>
      <c r="L14" s="34" t="s">
        <v>40</v>
      </c>
      <c r="M14" s="34">
        <v>0.0</v>
      </c>
      <c r="N14" s="34" t="s">
        <v>79</v>
      </c>
      <c r="O14" s="34">
        <v>1.0</v>
      </c>
      <c r="P14" s="34"/>
      <c r="Q14" s="34" t="s">
        <v>53</v>
      </c>
      <c r="R14" s="35"/>
      <c r="S14" s="35"/>
      <c r="T14" s="34" t="s">
        <v>53</v>
      </c>
      <c r="U14" s="35"/>
      <c r="V14" s="35"/>
      <c r="W14" s="35"/>
      <c r="X14" s="35"/>
      <c r="Y14" s="35"/>
      <c r="Z14" s="35"/>
      <c r="AA14" s="35"/>
      <c r="AB14" s="35"/>
      <c r="AC14" s="35"/>
      <c r="AD14" s="35"/>
      <c r="AE14" s="35"/>
      <c r="AF14" s="35"/>
      <c r="AG14" s="35"/>
      <c r="AH14" s="35"/>
      <c r="AI14" s="35"/>
      <c r="AJ14" s="32">
        <f t="shared" si="1"/>
        <v>4000</v>
      </c>
      <c r="AK14" s="36"/>
      <c r="AL14" s="36"/>
      <c r="AM14" s="36"/>
      <c r="AN14" s="36"/>
      <c r="AO14" s="36"/>
      <c r="AP14" s="36"/>
      <c r="AQ14" s="36"/>
    </row>
    <row r="15" ht="22.5" customHeight="1">
      <c r="A15" s="28" t="s">
        <v>237</v>
      </c>
      <c r="B15" s="28" t="s">
        <v>25</v>
      </c>
      <c r="C15" s="28" t="s">
        <v>27</v>
      </c>
      <c r="D15" s="28">
        <v>0.0</v>
      </c>
      <c r="E15" s="28" t="s">
        <v>26</v>
      </c>
      <c r="F15" s="28" t="s">
        <v>37</v>
      </c>
      <c r="G15" s="28">
        <v>3000.0</v>
      </c>
      <c r="H15" s="28" t="s">
        <v>60</v>
      </c>
      <c r="I15" s="28">
        <v>4.0</v>
      </c>
      <c r="J15" s="28">
        <v>3500.0</v>
      </c>
      <c r="K15" s="28" t="s">
        <v>87</v>
      </c>
      <c r="L15" s="28" t="s">
        <v>40</v>
      </c>
      <c r="M15" s="28">
        <v>0.0</v>
      </c>
      <c r="N15" s="28" t="s">
        <v>79</v>
      </c>
      <c r="O15" s="28">
        <v>1.0</v>
      </c>
      <c r="P15" s="28">
        <v>0.0</v>
      </c>
      <c r="Q15" s="28" t="s">
        <v>215</v>
      </c>
      <c r="R15" s="28">
        <v>1.0</v>
      </c>
      <c r="S15" s="28">
        <v>0.0</v>
      </c>
      <c r="T15" s="28" t="s">
        <v>53</v>
      </c>
      <c r="U15" s="30"/>
      <c r="V15" s="30"/>
      <c r="W15" s="28" t="s">
        <v>53</v>
      </c>
      <c r="X15" s="30"/>
      <c r="Y15" s="30"/>
      <c r="Z15" s="30"/>
      <c r="AA15" s="30"/>
      <c r="AB15" s="30"/>
      <c r="AC15" s="30"/>
      <c r="AD15" s="30"/>
      <c r="AE15" s="30"/>
      <c r="AF15" s="30"/>
      <c r="AG15" s="30"/>
      <c r="AH15" s="30"/>
      <c r="AI15" s="30"/>
      <c r="AJ15" s="32">
        <f t="shared" si="1"/>
        <v>6500</v>
      </c>
      <c r="AK15" s="33"/>
      <c r="AL15" s="33"/>
      <c r="AM15" s="33"/>
      <c r="AN15" s="33"/>
      <c r="AO15" s="33"/>
      <c r="AP15" s="33"/>
      <c r="AQ15" s="33"/>
    </row>
    <row r="16" ht="22.5" customHeight="1">
      <c r="A16" s="34" t="s">
        <v>54</v>
      </c>
      <c r="B16" s="34" t="s">
        <v>25</v>
      </c>
      <c r="C16" s="34" t="s">
        <v>27</v>
      </c>
      <c r="D16" s="34">
        <v>0.0</v>
      </c>
      <c r="E16" s="34" t="s">
        <v>26</v>
      </c>
      <c r="F16" s="34" t="s">
        <v>37</v>
      </c>
      <c r="G16" s="34">
        <v>3000.0</v>
      </c>
      <c r="H16" s="34" t="s">
        <v>60</v>
      </c>
      <c r="I16" s="34">
        <v>4.0</v>
      </c>
      <c r="J16" s="34">
        <v>3500.0</v>
      </c>
      <c r="K16" s="34" t="s">
        <v>87</v>
      </c>
      <c r="L16" s="34" t="s">
        <v>40</v>
      </c>
      <c r="M16" s="34">
        <v>0.0</v>
      </c>
      <c r="N16" s="34" t="s">
        <v>79</v>
      </c>
      <c r="O16" s="34">
        <v>1.0</v>
      </c>
      <c r="P16" s="34">
        <v>0.0</v>
      </c>
      <c r="Q16" s="34" t="s">
        <v>53</v>
      </c>
      <c r="R16" s="35"/>
      <c r="S16" s="35"/>
      <c r="T16" s="34" t="s">
        <v>53</v>
      </c>
      <c r="U16" s="35"/>
      <c r="V16" s="35"/>
      <c r="W16" s="35"/>
      <c r="X16" s="35"/>
      <c r="Y16" s="35"/>
      <c r="Z16" s="35"/>
      <c r="AA16" s="35"/>
      <c r="AB16" s="35"/>
      <c r="AC16" s="35"/>
      <c r="AD16" s="35"/>
      <c r="AE16" s="35"/>
      <c r="AF16" s="35"/>
      <c r="AG16" s="35"/>
      <c r="AH16" s="35"/>
      <c r="AI16" s="35"/>
      <c r="AJ16" s="32">
        <f t="shared" si="1"/>
        <v>6500</v>
      </c>
      <c r="AK16" s="36"/>
      <c r="AL16" s="36"/>
      <c r="AM16" s="36"/>
      <c r="AN16" s="36"/>
      <c r="AO16" s="36"/>
      <c r="AP16" s="36"/>
      <c r="AQ16" s="36"/>
    </row>
    <row r="17" ht="22.5" customHeight="1">
      <c r="A17" s="28" t="s">
        <v>58</v>
      </c>
      <c r="B17" s="28" t="s">
        <v>25</v>
      </c>
      <c r="C17" s="28" t="s">
        <v>27</v>
      </c>
      <c r="D17" s="28">
        <v>0.0</v>
      </c>
      <c r="E17" s="28" t="s">
        <v>26</v>
      </c>
      <c r="F17" s="28" t="s">
        <v>37</v>
      </c>
      <c r="G17" s="28">
        <v>3000.0</v>
      </c>
      <c r="H17" s="28" t="s">
        <v>151</v>
      </c>
      <c r="I17" s="28" t="s">
        <v>40</v>
      </c>
      <c r="J17" s="28">
        <v>0.0</v>
      </c>
      <c r="K17" s="28" t="s">
        <v>152</v>
      </c>
      <c r="L17" s="28" t="s">
        <v>155</v>
      </c>
      <c r="M17" s="28">
        <v>3500.0</v>
      </c>
      <c r="N17" s="28" t="s">
        <v>112</v>
      </c>
      <c r="O17" s="28" t="s">
        <v>116</v>
      </c>
      <c r="P17" s="28">
        <v>0.0</v>
      </c>
      <c r="Q17" s="28" t="s">
        <v>115</v>
      </c>
      <c r="R17" s="28"/>
      <c r="S17" s="28"/>
      <c r="T17" s="28" t="s">
        <v>53</v>
      </c>
      <c r="U17" s="30"/>
      <c r="V17" s="30"/>
      <c r="W17" s="30"/>
      <c r="X17" s="30"/>
      <c r="Y17" s="30"/>
      <c r="Z17" s="30"/>
      <c r="AA17" s="30"/>
      <c r="AB17" s="30"/>
      <c r="AC17" s="30"/>
      <c r="AD17" s="30"/>
      <c r="AE17" s="30"/>
      <c r="AF17" s="30"/>
      <c r="AG17" s="30"/>
      <c r="AH17" s="30"/>
      <c r="AI17" s="30"/>
      <c r="AJ17" s="32">
        <f t="shared" si="1"/>
        <v>6500</v>
      </c>
      <c r="AK17" s="33"/>
      <c r="AL17" s="33"/>
      <c r="AM17" s="33"/>
      <c r="AN17" s="33"/>
      <c r="AO17" s="33"/>
      <c r="AP17" s="33"/>
      <c r="AQ17" s="33"/>
    </row>
    <row r="18" ht="22.5" customHeight="1">
      <c r="A18" s="34" t="s">
        <v>123</v>
      </c>
      <c r="B18" s="34" t="s">
        <v>25</v>
      </c>
      <c r="C18" s="34" t="s">
        <v>27</v>
      </c>
      <c r="D18" s="34">
        <v>0.0</v>
      </c>
      <c r="E18" s="34" t="s">
        <v>26</v>
      </c>
      <c r="F18" s="34" t="s">
        <v>37</v>
      </c>
      <c r="G18" s="34">
        <v>3000.0</v>
      </c>
      <c r="H18" s="34" t="s">
        <v>151</v>
      </c>
      <c r="I18" s="34" t="s">
        <v>40</v>
      </c>
      <c r="J18" s="34">
        <v>0.0</v>
      </c>
      <c r="K18" s="34" t="s">
        <v>152</v>
      </c>
      <c r="L18" s="34" t="s">
        <v>155</v>
      </c>
      <c r="M18" s="34">
        <v>3500.0</v>
      </c>
      <c r="N18" s="34" t="s">
        <v>112</v>
      </c>
      <c r="O18" s="34" t="s">
        <v>129</v>
      </c>
      <c r="P18" s="34"/>
      <c r="Q18" s="34" t="s">
        <v>127</v>
      </c>
      <c r="R18" s="34"/>
      <c r="S18" s="34"/>
      <c r="T18" s="34" t="s">
        <v>53</v>
      </c>
      <c r="U18" s="35"/>
      <c r="V18" s="35"/>
      <c r="W18" s="35"/>
      <c r="X18" s="35"/>
      <c r="Y18" s="35"/>
      <c r="Z18" s="35"/>
      <c r="AA18" s="35"/>
      <c r="AB18" s="35"/>
      <c r="AC18" s="35"/>
      <c r="AD18" s="35"/>
      <c r="AE18" s="35"/>
      <c r="AF18" s="35"/>
      <c r="AG18" s="35"/>
      <c r="AH18" s="35"/>
      <c r="AI18" s="35"/>
      <c r="AJ18" s="32">
        <f t="shared" si="1"/>
        <v>6500</v>
      </c>
      <c r="AK18" s="36"/>
      <c r="AL18" s="36"/>
      <c r="AM18" s="36"/>
      <c r="AN18" s="36"/>
      <c r="AO18" s="36"/>
      <c r="AP18" s="36"/>
      <c r="AQ18" s="36"/>
    </row>
    <row r="19" ht="22.5" customHeight="1">
      <c r="A19" s="28" t="s">
        <v>62</v>
      </c>
      <c r="B19" s="28" t="s">
        <v>25</v>
      </c>
      <c r="C19" s="28" t="s">
        <v>27</v>
      </c>
      <c r="D19" s="28">
        <v>0.0</v>
      </c>
      <c r="E19" s="28" t="s">
        <v>26</v>
      </c>
      <c r="F19" s="28" t="s">
        <v>37</v>
      </c>
      <c r="G19" s="28">
        <v>3000.0</v>
      </c>
      <c r="H19" s="28" t="s">
        <v>164</v>
      </c>
      <c r="I19" s="28" t="s">
        <v>40</v>
      </c>
      <c r="J19" s="28">
        <v>0.0</v>
      </c>
      <c r="K19" s="28" t="s">
        <v>165</v>
      </c>
      <c r="L19" s="28" t="s">
        <v>166</v>
      </c>
      <c r="M19" s="28">
        <v>3500.0</v>
      </c>
      <c r="N19" s="28" t="s">
        <v>94</v>
      </c>
      <c r="O19" s="28" t="s">
        <v>40</v>
      </c>
      <c r="P19" s="28">
        <v>7000.0</v>
      </c>
      <c r="Q19" s="28" t="s">
        <v>98</v>
      </c>
      <c r="R19" s="28" t="s">
        <v>71</v>
      </c>
      <c r="S19" s="28"/>
      <c r="T19" s="28" t="s">
        <v>69</v>
      </c>
      <c r="U19" s="30"/>
      <c r="V19" s="30"/>
      <c r="W19" s="28" t="s">
        <v>53</v>
      </c>
      <c r="X19" s="30"/>
      <c r="Y19" s="30"/>
      <c r="Z19" s="30"/>
      <c r="AA19" s="30"/>
      <c r="AB19" s="30"/>
      <c r="AC19" s="30"/>
      <c r="AD19" s="30"/>
      <c r="AE19" s="30"/>
      <c r="AF19" s="30"/>
      <c r="AG19" s="30"/>
      <c r="AH19" s="30"/>
      <c r="AI19" s="30"/>
      <c r="AJ19" s="32">
        <f t="shared" si="1"/>
        <v>13500</v>
      </c>
      <c r="AK19" s="33"/>
      <c r="AL19" s="33"/>
      <c r="AM19" s="33"/>
      <c r="AN19" s="33"/>
      <c r="AO19" s="33"/>
      <c r="AP19" s="33"/>
      <c r="AQ19" s="33"/>
    </row>
    <row r="20" ht="22.5" customHeight="1">
      <c r="A20" s="28" t="s">
        <v>67</v>
      </c>
      <c r="B20" s="28" t="s">
        <v>25</v>
      </c>
      <c r="C20" s="28" t="s">
        <v>27</v>
      </c>
      <c r="D20" s="28">
        <v>0.0</v>
      </c>
      <c r="E20" s="28" t="s">
        <v>26</v>
      </c>
      <c r="F20" s="28" t="s">
        <v>166</v>
      </c>
      <c r="G20" s="28">
        <v>3500.0</v>
      </c>
      <c r="H20" s="28" t="s">
        <v>94</v>
      </c>
      <c r="I20" s="28" t="s">
        <v>40</v>
      </c>
      <c r="J20" s="28">
        <v>0.0</v>
      </c>
      <c r="K20" s="28" t="s">
        <v>173</v>
      </c>
      <c r="L20" s="28" t="s">
        <v>176</v>
      </c>
      <c r="M20" s="28">
        <v>3500.0</v>
      </c>
      <c r="N20" s="28" t="s">
        <v>400</v>
      </c>
      <c r="O20" s="28" t="s">
        <v>176</v>
      </c>
      <c r="P20" s="28">
        <v>0.0</v>
      </c>
      <c r="Q20" s="28" t="s">
        <v>53</v>
      </c>
      <c r="R20" s="28"/>
      <c r="S20" s="28"/>
      <c r="T20" s="28"/>
      <c r="U20" s="30"/>
      <c r="V20" s="30"/>
      <c r="W20" s="28"/>
      <c r="X20" s="30"/>
      <c r="Y20" s="30"/>
      <c r="Z20" s="30"/>
      <c r="AA20" s="30"/>
      <c r="AB20" s="30"/>
      <c r="AC20" s="30"/>
      <c r="AD20" s="30"/>
      <c r="AE20" s="30"/>
      <c r="AF20" s="30"/>
      <c r="AG20" s="30"/>
      <c r="AH20" s="30"/>
      <c r="AI20" s="30"/>
      <c r="AJ20" s="32">
        <f t="shared" si="1"/>
        <v>7000</v>
      </c>
      <c r="AK20" s="33"/>
      <c r="AL20" s="33"/>
      <c r="AM20" s="33"/>
      <c r="AN20" s="33"/>
      <c r="AO20" s="33"/>
      <c r="AP20" s="33"/>
      <c r="AQ20" s="33"/>
    </row>
    <row r="21" ht="22.5" customHeight="1">
      <c r="A21" s="26" t="s">
        <v>70</v>
      </c>
      <c r="B21" s="26" t="s">
        <v>25</v>
      </c>
      <c r="C21" s="26" t="s">
        <v>27</v>
      </c>
      <c r="D21" s="26">
        <v>0.0</v>
      </c>
      <c r="E21" s="26" t="s">
        <v>26</v>
      </c>
      <c r="F21" s="26" t="s">
        <v>37</v>
      </c>
      <c r="G21" s="26">
        <v>3000.0</v>
      </c>
      <c r="H21" s="26" t="s">
        <v>36</v>
      </c>
      <c r="I21" s="26" t="s">
        <v>40</v>
      </c>
      <c r="J21" s="26">
        <v>0.0</v>
      </c>
      <c r="K21" s="26" t="s">
        <v>183</v>
      </c>
      <c r="L21" s="26">
        <v>9.0</v>
      </c>
      <c r="M21" s="26">
        <v>3500.0</v>
      </c>
      <c r="N21" s="26" t="s">
        <v>186</v>
      </c>
      <c r="O21" s="26" t="s">
        <v>190</v>
      </c>
      <c r="P21" s="40">
        <v>0.0</v>
      </c>
      <c r="Q21" s="26" t="s">
        <v>189</v>
      </c>
      <c r="R21" s="26" t="s">
        <v>40</v>
      </c>
      <c r="S21" s="26">
        <v>0.0</v>
      </c>
      <c r="T21" s="26" t="s">
        <v>53</v>
      </c>
      <c r="U21" s="27"/>
      <c r="V21" s="27"/>
      <c r="W21" s="27"/>
      <c r="X21" s="27"/>
      <c r="Y21" s="27"/>
      <c r="Z21" s="27"/>
      <c r="AA21" s="27"/>
      <c r="AB21" s="27"/>
      <c r="AC21" s="27"/>
      <c r="AD21" s="27"/>
      <c r="AE21" s="27"/>
      <c r="AF21" s="27"/>
      <c r="AG21" s="27"/>
      <c r="AH21" s="27"/>
      <c r="AI21" s="27"/>
      <c r="AJ21" s="32">
        <f t="shared" si="1"/>
        <v>6500</v>
      </c>
      <c r="AK21" s="25"/>
      <c r="AL21" s="25"/>
      <c r="AM21" s="25"/>
      <c r="AN21" s="25"/>
      <c r="AO21" s="25"/>
      <c r="AP21" s="25"/>
      <c r="AQ21" s="25"/>
    </row>
    <row r="22" ht="22.5" customHeight="1">
      <c r="A22" s="26" t="s">
        <v>74</v>
      </c>
      <c r="B22" s="26" t="s">
        <v>25</v>
      </c>
      <c r="C22" s="26" t="s">
        <v>27</v>
      </c>
      <c r="D22" s="26">
        <v>0.0</v>
      </c>
      <c r="E22" s="26" t="s">
        <v>26</v>
      </c>
      <c r="F22" s="26" t="s">
        <v>37</v>
      </c>
      <c r="G22" s="26">
        <v>3000.0</v>
      </c>
      <c r="H22" s="26" t="s">
        <v>36</v>
      </c>
      <c r="I22" s="26" t="s">
        <v>40</v>
      </c>
      <c r="J22" s="26">
        <v>0.0</v>
      </c>
      <c r="K22" s="26" t="s">
        <v>183</v>
      </c>
      <c r="L22" s="26">
        <v>9.0</v>
      </c>
      <c r="M22" s="26">
        <v>3500.0</v>
      </c>
      <c r="N22" s="26" t="s">
        <v>186</v>
      </c>
      <c r="O22" s="26" t="s">
        <v>204</v>
      </c>
      <c r="P22" s="40">
        <v>0.0</v>
      </c>
      <c r="Q22" s="26" t="s">
        <v>203</v>
      </c>
      <c r="R22" s="26" t="s">
        <v>40</v>
      </c>
      <c r="S22" s="26">
        <v>0.0</v>
      </c>
      <c r="T22" s="26" t="s">
        <v>202</v>
      </c>
      <c r="U22" s="26" t="s">
        <v>209</v>
      </c>
      <c r="V22" s="26"/>
      <c r="W22" s="26" t="s">
        <v>52</v>
      </c>
      <c r="X22" s="27"/>
      <c r="Y22" s="27"/>
      <c r="Z22" s="26" t="s">
        <v>53</v>
      </c>
      <c r="AA22" s="27"/>
      <c r="AB22" s="27"/>
      <c r="AC22" s="27"/>
      <c r="AD22" s="27"/>
      <c r="AE22" s="27"/>
      <c r="AF22" s="27"/>
      <c r="AG22" s="27"/>
      <c r="AH22" s="27"/>
      <c r="AI22" s="27"/>
      <c r="AJ22" s="32">
        <f t="shared" si="1"/>
        <v>6500</v>
      </c>
      <c r="AK22" s="25"/>
      <c r="AL22" s="25"/>
      <c r="AM22" s="25"/>
      <c r="AN22" s="25"/>
      <c r="AO22" s="25"/>
      <c r="AP22" s="25"/>
      <c r="AQ22" s="25"/>
    </row>
    <row r="23" ht="22.5" customHeight="1">
      <c r="A23" s="26" t="s">
        <v>76</v>
      </c>
      <c r="B23" s="26" t="s">
        <v>25</v>
      </c>
      <c r="C23" s="26" t="s">
        <v>27</v>
      </c>
      <c r="D23" s="26">
        <v>0.0</v>
      </c>
      <c r="E23" s="26" t="s">
        <v>26</v>
      </c>
      <c r="F23" s="26" t="s">
        <v>37</v>
      </c>
      <c r="G23" s="26">
        <v>3000.0</v>
      </c>
      <c r="H23" s="26" t="s">
        <v>36</v>
      </c>
      <c r="I23" s="26" t="s">
        <v>40</v>
      </c>
      <c r="J23" s="26">
        <v>0.0</v>
      </c>
      <c r="K23" s="26" t="s">
        <v>183</v>
      </c>
      <c r="L23" s="26">
        <v>9.0</v>
      </c>
      <c r="M23" s="26">
        <v>3500.0</v>
      </c>
      <c r="N23" s="26" t="s">
        <v>186</v>
      </c>
      <c r="O23" s="26" t="s">
        <v>204</v>
      </c>
      <c r="P23" s="40">
        <v>0.0</v>
      </c>
      <c r="Q23" s="26" t="s">
        <v>203</v>
      </c>
      <c r="R23" s="26" t="s">
        <v>40</v>
      </c>
      <c r="S23" s="26">
        <v>0.0</v>
      </c>
      <c r="T23" s="26" t="s">
        <v>202</v>
      </c>
      <c r="U23" s="26" t="s">
        <v>207</v>
      </c>
      <c r="V23" s="26"/>
      <c r="W23" s="26" t="s">
        <v>115</v>
      </c>
      <c r="X23" s="27"/>
      <c r="Y23" s="27"/>
      <c r="Z23" s="26" t="s">
        <v>53</v>
      </c>
      <c r="AA23" s="27"/>
      <c r="AB23" s="27"/>
      <c r="AC23" s="27"/>
      <c r="AD23" s="27"/>
      <c r="AE23" s="27"/>
      <c r="AF23" s="27"/>
      <c r="AG23" s="27"/>
      <c r="AH23" s="27"/>
      <c r="AI23" s="27"/>
      <c r="AJ23" s="32">
        <f t="shared" si="1"/>
        <v>6500</v>
      </c>
      <c r="AK23" s="25"/>
      <c r="AL23" s="25"/>
      <c r="AM23" s="25"/>
      <c r="AN23" s="25"/>
      <c r="AO23" s="25"/>
      <c r="AP23" s="25"/>
      <c r="AQ23" s="25"/>
    </row>
    <row r="24" ht="22.5" customHeight="1">
      <c r="A24" s="26" t="s">
        <v>78</v>
      </c>
      <c r="B24" s="26" t="s">
        <v>25</v>
      </c>
      <c r="C24" s="26" t="s">
        <v>27</v>
      </c>
      <c r="D24" s="26">
        <v>0.0</v>
      </c>
      <c r="E24" s="26" t="s">
        <v>26</v>
      </c>
      <c r="F24" s="26" t="s">
        <v>37</v>
      </c>
      <c r="G24" s="26">
        <v>3000.0</v>
      </c>
      <c r="H24" s="26" t="s">
        <v>36</v>
      </c>
      <c r="I24" s="26" t="s">
        <v>40</v>
      </c>
      <c r="J24" s="26">
        <v>0.0</v>
      </c>
      <c r="K24" s="26" t="s">
        <v>183</v>
      </c>
      <c r="L24" s="26">
        <v>9.0</v>
      </c>
      <c r="M24" s="26">
        <v>3500.0</v>
      </c>
      <c r="N24" s="26" t="s">
        <v>186</v>
      </c>
      <c r="O24" s="26" t="s">
        <v>208</v>
      </c>
      <c r="P24" s="40">
        <v>0.0</v>
      </c>
      <c r="Q24" s="26" t="s">
        <v>52</v>
      </c>
      <c r="R24" s="26" t="s">
        <v>40</v>
      </c>
      <c r="S24" s="26">
        <v>0.0</v>
      </c>
      <c r="T24" s="26" t="s">
        <v>53</v>
      </c>
      <c r="U24" s="27"/>
      <c r="V24" s="27"/>
      <c r="W24" s="27"/>
      <c r="X24" s="27"/>
      <c r="Y24" s="27"/>
      <c r="Z24" s="27"/>
      <c r="AA24" s="27"/>
      <c r="AB24" s="27"/>
      <c r="AC24" s="27"/>
      <c r="AD24" s="27"/>
      <c r="AE24" s="27"/>
      <c r="AF24" s="27"/>
      <c r="AG24" s="27"/>
      <c r="AH24" s="27"/>
      <c r="AI24" s="27"/>
      <c r="AJ24" s="32">
        <f t="shared" si="1"/>
        <v>6500</v>
      </c>
      <c r="AK24" s="25"/>
      <c r="AL24" s="25"/>
      <c r="AM24" s="25"/>
      <c r="AN24" s="25"/>
      <c r="AO24" s="25"/>
      <c r="AP24" s="25"/>
      <c r="AQ24" s="25"/>
    </row>
    <row r="25" ht="22.5" customHeight="1">
      <c r="A25" s="26" t="s">
        <v>81</v>
      </c>
      <c r="B25" s="26" t="s">
        <v>25</v>
      </c>
      <c r="C25" s="26" t="s">
        <v>27</v>
      </c>
      <c r="D25" s="26">
        <v>0.0</v>
      </c>
      <c r="E25" s="26" t="s">
        <v>26</v>
      </c>
      <c r="F25" s="26" t="s">
        <v>37</v>
      </c>
      <c r="G25" s="26">
        <v>3000.0</v>
      </c>
      <c r="H25" s="26" t="s">
        <v>36</v>
      </c>
      <c r="I25" s="26" t="s">
        <v>40</v>
      </c>
      <c r="J25" s="26">
        <v>0.0</v>
      </c>
      <c r="K25" s="26" t="s">
        <v>183</v>
      </c>
      <c r="L25" s="26">
        <v>9.0</v>
      </c>
      <c r="M25" s="26">
        <v>3500.0</v>
      </c>
      <c r="N25" s="26" t="s">
        <v>186</v>
      </c>
      <c r="O25" s="26">
        <v>9.0</v>
      </c>
      <c r="P25" s="40">
        <v>0.0</v>
      </c>
      <c r="Q25" s="26" t="s">
        <v>199</v>
      </c>
      <c r="R25" s="26" t="s">
        <v>40</v>
      </c>
      <c r="S25" s="26">
        <v>0.0</v>
      </c>
      <c r="T25" s="26" t="s">
        <v>202</v>
      </c>
      <c r="U25" s="26" t="s">
        <v>209</v>
      </c>
      <c r="V25" s="26"/>
      <c r="W25" s="26" t="s">
        <v>52</v>
      </c>
      <c r="X25" s="27"/>
      <c r="Y25" s="27"/>
      <c r="Z25" s="26" t="s">
        <v>53</v>
      </c>
      <c r="AA25" s="27"/>
      <c r="AB25" s="27"/>
      <c r="AC25" s="27"/>
      <c r="AD25" s="27"/>
      <c r="AE25" s="27"/>
      <c r="AF25" s="27"/>
      <c r="AG25" s="27"/>
      <c r="AH25" s="27"/>
      <c r="AI25" s="27"/>
      <c r="AJ25" s="32">
        <f t="shared" si="1"/>
        <v>6500</v>
      </c>
      <c r="AK25" s="25"/>
      <c r="AL25" s="25"/>
      <c r="AM25" s="25"/>
      <c r="AN25" s="25"/>
      <c r="AO25" s="25"/>
      <c r="AP25" s="25"/>
      <c r="AQ25" s="25"/>
    </row>
    <row r="26" ht="22.5" customHeight="1">
      <c r="A26" s="26" t="s">
        <v>83</v>
      </c>
      <c r="B26" s="26" t="s">
        <v>25</v>
      </c>
      <c r="C26" s="26" t="s">
        <v>27</v>
      </c>
      <c r="D26" s="26">
        <v>0.0</v>
      </c>
      <c r="E26" s="26" t="s">
        <v>26</v>
      </c>
      <c r="F26" s="26" t="s">
        <v>37</v>
      </c>
      <c r="G26" s="26">
        <v>3000.0</v>
      </c>
      <c r="H26" s="26" t="s">
        <v>36</v>
      </c>
      <c r="I26" s="26" t="s">
        <v>40</v>
      </c>
      <c r="J26" s="26">
        <v>0.0</v>
      </c>
      <c r="K26" s="26" t="s">
        <v>183</v>
      </c>
      <c r="L26" s="26">
        <v>9.0</v>
      </c>
      <c r="M26" s="26">
        <v>3500.0</v>
      </c>
      <c r="N26" s="26" t="s">
        <v>186</v>
      </c>
      <c r="O26" s="26">
        <v>9.0</v>
      </c>
      <c r="P26" s="40">
        <v>0.0</v>
      </c>
      <c r="Q26" s="26" t="s">
        <v>199</v>
      </c>
      <c r="R26" s="26" t="s">
        <v>40</v>
      </c>
      <c r="S26" s="26">
        <v>0.0</v>
      </c>
      <c r="T26" s="26" t="s">
        <v>202</v>
      </c>
      <c r="U26" s="26" t="s">
        <v>207</v>
      </c>
      <c r="V26" s="26"/>
      <c r="W26" s="26" t="s">
        <v>115</v>
      </c>
      <c r="X26" s="27"/>
      <c r="Y26" s="27"/>
      <c r="Z26" s="26" t="s">
        <v>53</v>
      </c>
      <c r="AA26" s="27"/>
      <c r="AB26" s="27"/>
      <c r="AC26" s="27"/>
      <c r="AD26" s="27"/>
      <c r="AE26" s="27"/>
      <c r="AF26" s="27"/>
      <c r="AG26" s="27"/>
      <c r="AH26" s="27"/>
      <c r="AI26" s="27"/>
      <c r="AJ26" s="32">
        <f t="shared" si="1"/>
        <v>6500</v>
      </c>
      <c r="AK26" s="25"/>
      <c r="AL26" s="25"/>
      <c r="AM26" s="25"/>
      <c r="AN26" s="25"/>
      <c r="AO26" s="25"/>
      <c r="AP26" s="25"/>
      <c r="AQ26" s="25"/>
    </row>
    <row r="27" ht="22.5" customHeight="1">
      <c r="A27" s="26" t="s">
        <v>85</v>
      </c>
      <c r="B27" s="26" t="s">
        <v>25</v>
      </c>
      <c r="C27" s="26" t="s">
        <v>27</v>
      </c>
      <c r="D27" s="26">
        <v>0.0</v>
      </c>
      <c r="E27" s="26" t="s">
        <v>26</v>
      </c>
      <c r="F27" s="26" t="s">
        <v>37</v>
      </c>
      <c r="G27" s="26">
        <v>3000.0</v>
      </c>
      <c r="H27" s="26" t="s">
        <v>36</v>
      </c>
      <c r="I27" s="26" t="s">
        <v>40</v>
      </c>
      <c r="J27" s="26">
        <v>0.0</v>
      </c>
      <c r="K27" s="26" t="s">
        <v>183</v>
      </c>
      <c r="L27" s="26">
        <v>9.0</v>
      </c>
      <c r="M27" s="26">
        <v>3500.0</v>
      </c>
      <c r="N27" s="26" t="s">
        <v>186</v>
      </c>
      <c r="O27" s="26" t="s">
        <v>211</v>
      </c>
      <c r="P27" s="40">
        <v>0.0</v>
      </c>
      <c r="Q27" s="26" t="s">
        <v>210</v>
      </c>
      <c r="R27" s="26">
        <v>1.0</v>
      </c>
      <c r="S27" s="26">
        <v>0.0</v>
      </c>
      <c r="T27" s="26" t="s">
        <v>53</v>
      </c>
      <c r="U27" s="27"/>
      <c r="V27" s="27"/>
      <c r="W27" s="26" t="s">
        <v>53</v>
      </c>
      <c r="X27" s="27"/>
      <c r="Y27" s="27"/>
      <c r="Z27" s="27"/>
      <c r="AA27" s="27"/>
      <c r="AB27" s="27"/>
      <c r="AC27" s="27"/>
      <c r="AD27" s="27"/>
      <c r="AE27" s="27"/>
      <c r="AF27" s="27"/>
      <c r="AG27" s="27"/>
      <c r="AH27" s="27"/>
      <c r="AI27" s="27"/>
      <c r="AJ27" s="32">
        <f t="shared" si="1"/>
        <v>6500</v>
      </c>
      <c r="AK27" s="25"/>
      <c r="AL27" s="25"/>
      <c r="AM27" s="25"/>
      <c r="AN27" s="25"/>
      <c r="AO27" s="25"/>
      <c r="AP27" s="25"/>
      <c r="AQ27" s="25"/>
    </row>
    <row r="28" ht="22.5" customHeight="1">
      <c r="A28" s="34" t="s">
        <v>88</v>
      </c>
      <c r="B28" s="34" t="s">
        <v>25</v>
      </c>
      <c r="C28" s="34" t="s">
        <v>27</v>
      </c>
      <c r="D28" s="34">
        <v>0.0</v>
      </c>
      <c r="E28" s="34" t="s">
        <v>26</v>
      </c>
      <c r="F28" s="34" t="s">
        <v>37</v>
      </c>
      <c r="G28" s="34">
        <v>3000.0</v>
      </c>
      <c r="H28" s="34" t="s">
        <v>36</v>
      </c>
      <c r="I28" s="34" t="s">
        <v>40</v>
      </c>
      <c r="J28" s="34">
        <v>0.0</v>
      </c>
      <c r="K28" s="34" t="s">
        <v>183</v>
      </c>
      <c r="L28" s="34">
        <v>9.0</v>
      </c>
      <c r="M28" s="34">
        <v>3500.0</v>
      </c>
      <c r="N28" s="34" t="s">
        <v>213</v>
      </c>
      <c r="O28" s="34" t="s">
        <v>40</v>
      </c>
      <c r="P28" s="41">
        <v>0.0</v>
      </c>
      <c r="Q28" s="34" t="s">
        <v>214</v>
      </c>
      <c r="R28" s="34" t="s">
        <v>71</v>
      </c>
      <c r="S28" s="34">
        <v>7000.0</v>
      </c>
      <c r="T28" s="34" t="s">
        <v>69</v>
      </c>
      <c r="U28" s="35"/>
      <c r="V28" s="35"/>
      <c r="W28" s="34" t="s">
        <v>53</v>
      </c>
      <c r="X28" s="35"/>
      <c r="Y28" s="35"/>
      <c r="Z28" s="35"/>
      <c r="AA28" s="35"/>
      <c r="AB28" s="35"/>
      <c r="AC28" s="35"/>
      <c r="AD28" s="35"/>
      <c r="AE28" s="35"/>
      <c r="AF28" s="35"/>
      <c r="AG28" s="35"/>
      <c r="AH28" s="35"/>
      <c r="AI28" s="35"/>
      <c r="AJ28" s="32">
        <f t="shared" si="1"/>
        <v>13500</v>
      </c>
      <c r="AK28" s="36"/>
      <c r="AL28" s="36"/>
      <c r="AM28" s="36"/>
      <c r="AN28" s="36"/>
      <c r="AO28" s="36"/>
      <c r="AP28" s="36"/>
      <c r="AQ28" s="36"/>
    </row>
    <row r="29" ht="22.5" customHeight="1">
      <c r="A29" s="26" t="s">
        <v>90</v>
      </c>
      <c r="B29" s="26" t="s">
        <v>25</v>
      </c>
      <c r="C29" s="26" t="s">
        <v>27</v>
      </c>
      <c r="D29" s="26">
        <v>0.0</v>
      </c>
      <c r="E29" s="26" t="s">
        <v>26</v>
      </c>
      <c r="F29" s="26" t="s">
        <v>37</v>
      </c>
      <c r="G29" s="26">
        <v>3000.0</v>
      </c>
      <c r="H29" s="26" t="s">
        <v>36</v>
      </c>
      <c r="I29" s="26" t="s">
        <v>40</v>
      </c>
      <c r="J29" s="26">
        <v>0.0</v>
      </c>
      <c r="K29" s="26" t="s">
        <v>183</v>
      </c>
      <c r="L29" s="26">
        <v>9.0</v>
      </c>
      <c r="M29" s="26">
        <v>3500.0</v>
      </c>
      <c r="N29" s="26" t="s">
        <v>199</v>
      </c>
      <c r="O29" s="26" t="s">
        <v>40</v>
      </c>
      <c r="P29" s="40">
        <v>0.0</v>
      </c>
      <c r="Q29" s="26" t="s">
        <v>202</v>
      </c>
      <c r="R29" s="26" t="s">
        <v>207</v>
      </c>
      <c r="S29" s="26">
        <v>0.0</v>
      </c>
      <c r="T29" s="26" t="s">
        <v>115</v>
      </c>
      <c r="U29" s="27"/>
      <c r="V29" s="27"/>
      <c r="W29" s="26" t="s">
        <v>53</v>
      </c>
      <c r="X29" s="27"/>
      <c r="Y29" s="27"/>
      <c r="Z29" s="27"/>
      <c r="AA29" s="27"/>
      <c r="AB29" s="27"/>
      <c r="AC29" s="27"/>
      <c r="AD29" s="27"/>
      <c r="AE29" s="27"/>
      <c r="AF29" s="27"/>
      <c r="AG29" s="27"/>
      <c r="AH29" s="27"/>
      <c r="AI29" s="27"/>
      <c r="AJ29" s="32">
        <f t="shared" si="1"/>
        <v>6500</v>
      </c>
      <c r="AK29" s="25"/>
      <c r="AL29" s="25"/>
      <c r="AM29" s="25"/>
      <c r="AN29" s="25"/>
      <c r="AO29" s="25"/>
      <c r="AP29" s="25"/>
      <c r="AQ29" s="25"/>
    </row>
    <row r="30" ht="22.5" customHeight="1">
      <c r="A30" s="26" t="s">
        <v>92</v>
      </c>
      <c r="B30" s="26" t="s">
        <v>25</v>
      </c>
      <c r="C30" s="26" t="s">
        <v>27</v>
      </c>
      <c r="D30" s="26">
        <v>0.0</v>
      </c>
      <c r="E30" s="26" t="s">
        <v>26</v>
      </c>
      <c r="F30" s="26" t="s">
        <v>37</v>
      </c>
      <c r="G30" s="26">
        <v>3000.0</v>
      </c>
      <c r="H30" s="26" t="s">
        <v>36</v>
      </c>
      <c r="I30" s="26" t="s">
        <v>40</v>
      </c>
      <c r="J30" s="26">
        <v>0.0</v>
      </c>
      <c r="K30" s="26" t="s">
        <v>183</v>
      </c>
      <c r="L30" s="26" t="s">
        <v>211</v>
      </c>
      <c r="M30" s="26">
        <v>3500.0</v>
      </c>
      <c r="N30" s="26" t="s">
        <v>210</v>
      </c>
      <c r="O30" s="26">
        <v>1.0</v>
      </c>
      <c r="P30" s="26">
        <v>0.0</v>
      </c>
      <c r="Q30" s="26" t="s">
        <v>53</v>
      </c>
      <c r="R30" s="27"/>
      <c r="S30" s="26">
        <v>0.0</v>
      </c>
      <c r="T30" s="26" t="s">
        <v>53</v>
      </c>
      <c r="U30" s="27"/>
      <c r="V30" s="27"/>
      <c r="W30" s="27"/>
      <c r="X30" s="27"/>
      <c r="Y30" s="27"/>
      <c r="Z30" s="27"/>
      <c r="AA30" s="27"/>
      <c r="AB30" s="27"/>
      <c r="AC30" s="27"/>
      <c r="AD30" s="27"/>
      <c r="AE30" s="27"/>
      <c r="AF30" s="27"/>
      <c r="AG30" s="27"/>
      <c r="AH30" s="27"/>
      <c r="AI30" s="27"/>
      <c r="AJ30" s="32">
        <f t="shared" si="1"/>
        <v>6500</v>
      </c>
      <c r="AK30" s="25"/>
      <c r="AL30" s="25"/>
      <c r="AM30" s="25"/>
      <c r="AN30" s="25"/>
      <c r="AO30" s="25"/>
      <c r="AP30" s="25"/>
      <c r="AQ30" s="25"/>
    </row>
    <row r="31" ht="22.5" customHeight="1">
      <c r="A31" s="26" t="s">
        <v>96</v>
      </c>
      <c r="B31" s="26" t="s">
        <v>25</v>
      </c>
      <c r="C31" s="26" t="s">
        <v>27</v>
      </c>
      <c r="D31" s="26">
        <v>0.0</v>
      </c>
      <c r="E31" s="26" t="s">
        <v>26</v>
      </c>
      <c r="F31" s="26" t="s">
        <v>37</v>
      </c>
      <c r="G31" s="26">
        <v>3000.0</v>
      </c>
      <c r="H31" s="26" t="s">
        <v>36</v>
      </c>
      <c r="I31" s="26" t="s">
        <v>40</v>
      </c>
      <c r="J31" s="26">
        <v>0.0</v>
      </c>
      <c r="K31" s="26" t="s">
        <v>183</v>
      </c>
      <c r="L31" s="26" t="s">
        <v>211</v>
      </c>
      <c r="M31" s="26">
        <v>3500.0</v>
      </c>
      <c r="N31" s="26" t="s">
        <v>215</v>
      </c>
      <c r="O31" s="26">
        <v>1.0</v>
      </c>
      <c r="P31" s="26">
        <v>0.0</v>
      </c>
      <c r="Q31" s="26" t="s">
        <v>53</v>
      </c>
      <c r="R31" s="27"/>
      <c r="S31" s="26">
        <v>0.0</v>
      </c>
      <c r="T31" s="26" t="s">
        <v>53</v>
      </c>
      <c r="U31" s="27"/>
      <c r="V31" s="27"/>
      <c r="W31" s="27"/>
      <c r="X31" s="27"/>
      <c r="Y31" s="27"/>
      <c r="Z31" s="27"/>
      <c r="AA31" s="27"/>
      <c r="AB31" s="27"/>
      <c r="AC31" s="27"/>
      <c r="AD31" s="27"/>
      <c r="AE31" s="27"/>
      <c r="AF31" s="27"/>
      <c r="AG31" s="27"/>
      <c r="AH31" s="27"/>
      <c r="AI31" s="27"/>
      <c r="AJ31" s="32">
        <f t="shared" si="1"/>
        <v>6500</v>
      </c>
      <c r="AK31" s="25"/>
      <c r="AL31" s="25"/>
      <c r="AM31" s="25"/>
      <c r="AN31" s="25"/>
      <c r="AO31" s="25"/>
      <c r="AP31" s="25"/>
      <c r="AQ31" s="25"/>
    </row>
    <row r="32" ht="22.5" customHeight="1">
      <c r="A32" s="26" t="s">
        <v>99</v>
      </c>
      <c r="B32" s="26" t="s">
        <v>25</v>
      </c>
      <c r="C32" s="26" t="s">
        <v>27</v>
      </c>
      <c r="D32" s="26">
        <v>0.0</v>
      </c>
      <c r="E32" s="26" t="s">
        <v>26</v>
      </c>
      <c r="F32" s="26" t="s">
        <v>37</v>
      </c>
      <c r="G32" s="26">
        <v>3000.0</v>
      </c>
      <c r="H32" s="26" t="s">
        <v>36</v>
      </c>
      <c r="I32" s="26" t="s">
        <v>40</v>
      </c>
      <c r="J32" s="26">
        <v>0.0</v>
      </c>
      <c r="K32" s="26" t="s">
        <v>183</v>
      </c>
      <c r="L32" s="26" t="s">
        <v>208</v>
      </c>
      <c r="M32" s="26">
        <v>3500.0</v>
      </c>
      <c r="N32" s="26" t="s">
        <v>52</v>
      </c>
      <c r="O32" s="26"/>
      <c r="P32" s="26">
        <v>0.0</v>
      </c>
      <c r="Q32" s="26" t="s">
        <v>53</v>
      </c>
      <c r="R32" s="27"/>
      <c r="S32" s="27"/>
      <c r="T32" s="27"/>
      <c r="U32" s="27"/>
      <c r="V32" s="27"/>
      <c r="W32" s="27"/>
      <c r="X32" s="27"/>
      <c r="Y32" s="27"/>
      <c r="Z32" s="27"/>
      <c r="AA32" s="27"/>
      <c r="AB32" s="27"/>
      <c r="AC32" s="27"/>
      <c r="AD32" s="27"/>
      <c r="AE32" s="27"/>
      <c r="AF32" s="27"/>
      <c r="AG32" s="27"/>
      <c r="AH32" s="27"/>
      <c r="AI32" s="27"/>
      <c r="AJ32" s="32">
        <f t="shared" si="1"/>
        <v>6500</v>
      </c>
      <c r="AK32" s="25"/>
      <c r="AL32" s="25"/>
      <c r="AM32" s="25"/>
      <c r="AN32" s="25"/>
      <c r="AO32" s="25"/>
      <c r="AP32" s="25"/>
      <c r="AQ32" s="25"/>
    </row>
    <row r="33" ht="22.5" customHeight="1">
      <c r="A33" s="26" t="s">
        <v>102</v>
      </c>
      <c r="B33" s="26" t="s">
        <v>25</v>
      </c>
      <c r="C33" s="26" t="s">
        <v>27</v>
      </c>
      <c r="D33" s="26">
        <v>0.0</v>
      </c>
      <c r="E33" s="26" t="s">
        <v>26</v>
      </c>
      <c r="F33" s="26" t="s">
        <v>37</v>
      </c>
      <c r="G33" s="26">
        <v>3000.0</v>
      </c>
      <c r="H33" s="26" t="s">
        <v>36</v>
      </c>
      <c r="I33" s="26" t="s">
        <v>40</v>
      </c>
      <c r="J33" s="26">
        <v>0.0</v>
      </c>
      <c r="K33" s="26" t="s">
        <v>183</v>
      </c>
      <c r="L33" s="26">
        <v>9.0</v>
      </c>
      <c r="M33" s="26">
        <v>3500.0</v>
      </c>
      <c r="N33" s="26" t="s">
        <v>216</v>
      </c>
      <c r="O33" s="26" t="s">
        <v>40</v>
      </c>
      <c r="P33" s="26">
        <v>0.0</v>
      </c>
      <c r="Q33" s="26" t="s">
        <v>217</v>
      </c>
      <c r="R33" s="26" t="s">
        <v>219</v>
      </c>
      <c r="S33" s="26">
        <v>3500.0</v>
      </c>
      <c r="T33" s="26" t="s">
        <v>218</v>
      </c>
      <c r="U33" s="27"/>
      <c r="V33" s="27"/>
      <c r="W33" s="26" t="s">
        <v>53</v>
      </c>
      <c r="X33" s="27"/>
      <c r="Y33" s="27"/>
      <c r="Z33" s="27"/>
      <c r="AA33" s="27"/>
      <c r="AB33" s="27"/>
      <c r="AC33" s="27"/>
      <c r="AD33" s="27"/>
      <c r="AE33" s="27"/>
      <c r="AF33" s="27"/>
      <c r="AG33" s="27"/>
      <c r="AH33" s="27"/>
      <c r="AI33" s="27"/>
      <c r="AJ33" s="32">
        <f t="shared" si="1"/>
        <v>10000</v>
      </c>
      <c r="AK33" s="25"/>
      <c r="AL33" s="25"/>
      <c r="AM33" s="25"/>
      <c r="AN33" s="25"/>
      <c r="AO33" s="25"/>
      <c r="AP33" s="25"/>
      <c r="AQ33" s="25"/>
    </row>
    <row r="34" ht="22.5" customHeight="1">
      <c r="A34" s="26" t="s">
        <v>104</v>
      </c>
      <c r="B34" s="26" t="s">
        <v>25</v>
      </c>
      <c r="C34" s="26" t="s">
        <v>27</v>
      </c>
      <c r="D34" s="26">
        <v>0.0</v>
      </c>
      <c r="E34" s="26" t="s">
        <v>26</v>
      </c>
      <c r="F34" s="26" t="s">
        <v>37</v>
      </c>
      <c r="G34" s="26">
        <v>3000.0</v>
      </c>
      <c r="H34" s="26" t="s">
        <v>151</v>
      </c>
      <c r="I34" s="26" t="s">
        <v>40</v>
      </c>
      <c r="J34" s="26">
        <v>0.0</v>
      </c>
      <c r="K34" s="26" t="s">
        <v>152</v>
      </c>
      <c r="L34" s="26" t="s">
        <v>220</v>
      </c>
      <c r="M34" s="26">
        <v>3500.0</v>
      </c>
      <c r="N34" s="26" t="s">
        <v>43</v>
      </c>
      <c r="O34" s="26" t="s">
        <v>47</v>
      </c>
      <c r="P34" s="26">
        <v>0.0</v>
      </c>
      <c r="Q34" s="26" t="s">
        <v>46</v>
      </c>
      <c r="R34" s="26" t="s">
        <v>40</v>
      </c>
      <c r="S34" s="26">
        <v>0.0</v>
      </c>
      <c r="T34" s="26" t="s">
        <v>52</v>
      </c>
      <c r="U34" s="26">
        <v>1.0</v>
      </c>
      <c r="V34" s="26">
        <v>0.0</v>
      </c>
      <c r="W34" s="26" t="s">
        <v>53</v>
      </c>
      <c r="X34" s="26"/>
      <c r="Y34" s="26"/>
      <c r="Z34" s="26"/>
      <c r="AA34" s="26"/>
      <c r="AB34" s="26"/>
      <c r="AC34" s="26"/>
      <c r="AD34" s="26"/>
      <c r="AE34" s="26"/>
      <c r="AF34" s="26"/>
      <c r="AG34" s="26"/>
      <c r="AH34" s="26"/>
      <c r="AI34" s="26"/>
      <c r="AJ34" s="27">
        <f t="shared" si="1"/>
        <v>6500</v>
      </c>
      <c r="AK34" s="25"/>
      <c r="AL34" s="25"/>
      <c r="AM34" s="25"/>
      <c r="AN34" s="25"/>
      <c r="AO34" s="25"/>
      <c r="AP34" s="25"/>
      <c r="AQ34" s="25"/>
    </row>
    <row r="35" ht="22.5" customHeight="1">
      <c r="A35" s="26" t="s">
        <v>106</v>
      </c>
      <c r="B35" s="26" t="s">
        <v>25</v>
      </c>
      <c r="C35" s="26" t="s">
        <v>27</v>
      </c>
      <c r="D35" s="26">
        <v>0.0</v>
      </c>
      <c r="E35" s="26" t="s">
        <v>26</v>
      </c>
      <c r="F35" s="26" t="s">
        <v>37</v>
      </c>
      <c r="G35" s="26">
        <v>3000.0</v>
      </c>
      <c r="H35" s="26" t="s">
        <v>36</v>
      </c>
      <c r="I35" s="26" t="s">
        <v>37</v>
      </c>
      <c r="J35" s="26">
        <v>0.0</v>
      </c>
      <c r="K35" s="26" t="s">
        <v>60</v>
      </c>
      <c r="L35" s="26" t="s">
        <v>65</v>
      </c>
      <c r="M35" s="26">
        <v>0.0</v>
      </c>
      <c r="N35" s="26" t="s">
        <v>63</v>
      </c>
      <c r="O35" s="26" t="s">
        <v>40</v>
      </c>
      <c r="P35" s="26">
        <v>0.0</v>
      </c>
      <c r="Q35" s="26" t="s">
        <v>66</v>
      </c>
      <c r="R35" s="26">
        <v>1.0</v>
      </c>
      <c r="S35" s="26"/>
      <c r="T35" s="26" t="s">
        <v>69</v>
      </c>
      <c r="U35" s="27"/>
      <c r="V35" s="27"/>
      <c r="W35" s="26" t="s">
        <v>53</v>
      </c>
      <c r="X35" s="27"/>
      <c r="Y35" s="27"/>
      <c r="Z35" s="27"/>
      <c r="AA35" s="27"/>
      <c r="AB35" s="27"/>
      <c r="AC35" s="27"/>
      <c r="AD35" s="27"/>
      <c r="AE35" s="27"/>
      <c r="AF35" s="27"/>
      <c r="AG35" s="27"/>
      <c r="AH35" s="27"/>
      <c r="AI35" s="27"/>
      <c r="AJ35" s="32">
        <f t="shared" si="1"/>
        <v>3000</v>
      </c>
      <c r="AK35" s="25"/>
      <c r="AL35" s="25"/>
      <c r="AM35" s="25"/>
      <c r="AN35" s="25"/>
      <c r="AO35" s="25"/>
      <c r="AP35" s="25"/>
      <c r="AQ35" s="25"/>
    </row>
    <row r="36" ht="22.5" customHeight="1">
      <c r="A36" s="26" t="s">
        <v>249</v>
      </c>
      <c r="B36" s="26" t="s">
        <v>25</v>
      </c>
      <c r="C36" s="26" t="s">
        <v>27</v>
      </c>
      <c r="D36" s="26">
        <v>0.0</v>
      </c>
      <c r="E36" s="26" t="s">
        <v>26</v>
      </c>
      <c r="F36" s="26" t="s">
        <v>37</v>
      </c>
      <c r="G36" s="26">
        <v>3000.0</v>
      </c>
      <c r="H36" s="26" t="s">
        <v>36</v>
      </c>
      <c r="I36" s="26" t="s">
        <v>37</v>
      </c>
      <c r="J36" s="26">
        <v>0.0</v>
      </c>
      <c r="K36" s="26" t="s">
        <v>60</v>
      </c>
      <c r="L36" s="26" t="s">
        <v>65</v>
      </c>
      <c r="M36" s="26">
        <v>0.0</v>
      </c>
      <c r="N36" s="26" t="s">
        <v>63</v>
      </c>
      <c r="O36" s="26" t="s">
        <v>40</v>
      </c>
      <c r="P36" s="26">
        <v>0.0</v>
      </c>
      <c r="Q36" s="26" t="s">
        <v>79</v>
      </c>
      <c r="R36" s="26">
        <v>1.0</v>
      </c>
      <c r="S36" s="26"/>
      <c r="T36" s="26" t="s">
        <v>215</v>
      </c>
      <c r="U36" s="26">
        <v>1.0</v>
      </c>
      <c r="V36" s="26"/>
      <c r="W36" s="26" t="s">
        <v>53</v>
      </c>
      <c r="X36" s="27"/>
      <c r="Y36" s="27"/>
      <c r="Z36" s="26" t="s">
        <v>53</v>
      </c>
      <c r="AA36" s="27"/>
      <c r="AB36" s="27"/>
      <c r="AC36" s="27"/>
      <c r="AD36" s="27"/>
      <c r="AE36" s="27"/>
      <c r="AF36" s="27"/>
      <c r="AG36" s="27"/>
      <c r="AH36" s="27"/>
      <c r="AI36" s="27"/>
      <c r="AJ36" s="32">
        <f t="shared" si="1"/>
        <v>3000</v>
      </c>
      <c r="AK36" s="25"/>
      <c r="AL36" s="25"/>
      <c r="AM36" s="25"/>
      <c r="AN36" s="25"/>
      <c r="AO36" s="25"/>
      <c r="AP36" s="25"/>
      <c r="AQ36" s="25"/>
    </row>
    <row r="37" ht="22.5" customHeight="1">
      <c r="A37" s="26" t="s">
        <v>111</v>
      </c>
      <c r="B37" s="26" t="s">
        <v>25</v>
      </c>
      <c r="C37" s="26" t="s">
        <v>27</v>
      </c>
      <c r="D37" s="26">
        <v>0.0</v>
      </c>
      <c r="E37" s="26" t="s">
        <v>26</v>
      </c>
      <c r="F37" s="26" t="s">
        <v>37</v>
      </c>
      <c r="G37" s="26">
        <v>3000.0</v>
      </c>
      <c r="H37" s="26" t="s">
        <v>36</v>
      </c>
      <c r="I37" s="26" t="s">
        <v>37</v>
      </c>
      <c r="J37" s="26">
        <v>0.0</v>
      </c>
      <c r="K37" s="26" t="s">
        <v>60</v>
      </c>
      <c r="L37" s="26" t="s">
        <v>65</v>
      </c>
      <c r="M37" s="26">
        <v>0.0</v>
      </c>
      <c r="N37" s="26" t="s">
        <v>63</v>
      </c>
      <c r="O37" s="26" t="s">
        <v>40</v>
      </c>
      <c r="P37" s="26">
        <v>0.0</v>
      </c>
      <c r="Q37" s="26" t="s">
        <v>79</v>
      </c>
      <c r="R37" s="26">
        <v>1.0</v>
      </c>
      <c r="S37" s="26"/>
      <c r="T37" s="26" t="s">
        <v>53</v>
      </c>
      <c r="U37" s="27"/>
      <c r="V37" s="27"/>
      <c r="W37" s="26" t="s">
        <v>53</v>
      </c>
      <c r="X37" s="27"/>
      <c r="Y37" s="27"/>
      <c r="Z37" s="27"/>
      <c r="AA37" s="27"/>
      <c r="AB37" s="27"/>
      <c r="AC37" s="27"/>
      <c r="AD37" s="27"/>
      <c r="AE37" s="27"/>
      <c r="AF37" s="27"/>
      <c r="AG37" s="27"/>
      <c r="AH37" s="27"/>
      <c r="AI37" s="27"/>
      <c r="AJ37" s="32">
        <f t="shared" si="1"/>
        <v>3000</v>
      </c>
      <c r="AK37" s="25"/>
      <c r="AL37" s="25"/>
      <c r="AM37" s="25"/>
      <c r="AN37" s="25"/>
      <c r="AO37" s="25"/>
      <c r="AP37" s="25"/>
      <c r="AQ37" s="25"/>
    </row>
    <row r="38" ht="22.5" customHeight="1">
      <c r="A38" s="26" t="s">
        <v>251</v>
      </c>
      <c r="B38" s="26" t="s">
        <v>25</v>
      </c>
      <c r="C38" s="26" t="s">
        <v>27</v>
      </c>
      <c r="D38" s="26">
        <v>0.0</v>
      </c>
      <c r="E38" s="26" t="s">
        <v>26</v>
      </c>
      <c r="F38" s="26" t="s">
        <v>37</v>
      </c>
      <c r="G38" s="26">
        <v>3000.0</v>
      </c>
      <c r="H38" s="26" t="s">
        <v>36</v>
      </c>
      <c r="I38" s="26" t="s">
        <v>37</v>
      </c>
      <c r="J38" s="26">
        <v>0.0</v>
      </c>
      <c r="K38" s="26" t="s">
        <v>60</v>
      </c>
      <c r="L38" s="26">
        <v>4.0</v>
      </c>
      <c r="M38" s="26">
        <v>3500.0</v>
      </c>
      <c r="N38" s="26" t="s">
        <v>87</v>
      </c>
      <c r="O38" s="26" t="s">
        <v>40</v>
      </c>
      <c r="P38" s="26">
        <v>0.0</v>
      </c>
      <c r="Q38" s="26" t="s">
        <v>79</v>
      </c>
      <c r="R38" s="26">
        <v>1.0</v>
      </c>
      <c r="S38" s="26"/>
      <c r="T38" s="26" t="s">
        <v>215</v>
      </c>
      <c r="U38" s="26">
        <v>1.0</v>
      </c>
      <c r="V38" s="26"/>
      <c r="W38" s="26" t="s">
        <v>53</v>
      </c>
      <c r="X38" s="27"/>
      <c r="Y38" s="27"/>
      <c r="Z38" s="26" t="s">
        <v>53</v>
      </c>
      <c r="AA38" s="27"/>
      <c r="AB38" s="27"/>
      <c r="AC38" s="27"/>
      <c r="AD38" s="27"/>
      <c r="AE38" s="27"/>
      <c r="AF38" s="27"/>
      <c r="AG38" s="27"/>
      <c r="AH38" s="27"/>
      <c r="AI38" s="27"/>
      <c r="AJ38" s="32">
        <f t="shared" si="1"/>
        <v>6500</v>
      </c>
      <c r="AK38" s="25"/>
      <c r="AL38" s="25"/>
      <c r="AM38" s="25"/>
      <c r="AN38" s="25"/>
      <c r="AO38" s="25"/>
      <c r="AP38" s="25"/>
      <c r="AQ38" s="25"/>
    </row>
    <row r="39" ht="22.5" customHeight="1">
      <c r="A39" s="26" t="s">
        <v>117</v>
      </c>
      <c r="B39" s="26" t="s">
        <v>25</v>
      </c>
      <c r="C39" s="26" t="s">
        <v>27</v>
      </c>
      <c r="D39" s="26">
        <v>0.0</v>
      </c>
      <c r="E39" s="26" t="s">
        <v>26</v>
      </c>
      <c r="F39" s="26" t="s">
        <v>37</v>
      </c>
      <c r="G39" s="26">
        <v>3000.0</v>
      </c>
      <c r="H39" s="26" t="s">
        <v>36</v>
      </c>
      <c r="I39" s="26" t="s">
        <v>37</v>
      </c>
      <c r="J39" s="26">
        <v>0.0</v>
      </c>
      <c r="K39" s="26" t="s">
        <v>60</v>
      </c>
      <c r="L39" s="26">
        <v>4.0</v>
      </c>
      <c r="M39" s="26">
        <v>3500.0</v>
      </c>
      <c r="N39" s="26" t="s">
        <v>87</v>
      </c>
      <c r="O39" s="26" t="s">
        <v>40</v>
      </c>
      <c r="P39" s="26">
        <v>0.0</v>
      </c>
      <c r="Q39" s="26" t="s">
        <v>79</v>
      </c>
      <c r="R39" s="26">
        <v>1.0</v>
      </c>
      <c r="S39" s="26"/>
      <c r="T39" s="26" t="s">
        <v>53</v>
      </c>
      <c r="U39" s="27"/>
      <c r="V39" s="27"/>
      <c r="W39" s="26" t="s">
        <v>53</v>
      </c>
      <c r="X39" s="27"/>
      <c r="Y39" s="27"/>
      <c r="Z39" s="27"/>
      <c r="AA39" s="27"/>
      <c r="AB39" s="27"/>
      <c r="AC39" s="27"/>
      <c r="AD39" s="27"/>
      <c r="AE39" s="27"/>
      <c r="AF39" s="27"/>
      <c r="AG39" s="27"/>
      <c r="AH39" s="27"/>
      <c r="AI39" s="27"/>
      <c r="AJ39" s="32">
        <f t="shared" si="1"/>
        <v>6500</v>
      </c>
      <c r="AK39" s="25"/>
      <c r="AL39" s="25"/>
      <c r="AM39" s="25"/>
      <c r="AN39" s="25"/>
      <c r="AO39" s="25"/>
      <c r="AP39" s="25"/>
      <c r="AQ39" s="25"/>
    </row>
    <row r="40" ht="22.5" customHeight="1">
      <c r="A40" s="26" t="s">
        <v>119</v>
      </c>
      <c r="B40" s="26" t="s">
        <v>25</v>
      </c>
      <c r="C40" s="26" t="s">
        <v>27</v>
      </c>
      <c r="D40" s="26">
        <v>0.0</v>
      </c>
      <c r="E40" s="26" t="s">
        <v>26</v>
      </c>
      <c r="F40" s="26" t="s">
        <v>37</v>
      </c>
      <c r="G40" s="26">
        <v>3000.0</v>
      </c>
      <c r="H40" s="26" t="s">
        <v>36</v>
      </c>
      <c r="I40" s="26" t="s">
        <v>40</v>
      </c>
      <c r="J40" s="26">
        <v>0.0</v>
      </c>
      <c r="K40" s="26" t="s">
        <v>39</v>
      </c>
      <c r="L40" s="26" t="s">
        <v>44</v>
      </c>
      <c r="M40" s="26">
        <v>5700.0</v>
      </c>
      <c r="N40" s="26" t="s">
        <v>221</v>
      </c>
      <c r="O40" s="26" t="s">
        <v>40</v>
      </c>
      <c r="P40" s="26">
        <v>0.0</v>
      </c>
      <c r="Q40" s="26" t="s">
        <v>186</v>
      </c>
      <c r="R40" s="26" t="s">
        <v>190</v>
      </c>
      <c r="S40" s="26">
        <v>3500.0</v>
      </c>
      <c r="T40" s="26" t="s">
        <v>189</v>
      </c>
      <c r="U40" s="27"/>
      <c r="V40" s="27"/>
      <c r="W40" s="26" t="s">
        <v>53</v>
      </c>
      <c r="X40" s="27"/>
      <c r="Y40" s="27"/>
      <c r="Z40" s="27"/>
      <c r="AA40" s="27"/>
      <c r="AB40" s="27"/>
      <c r="AC40" s="27"/>
      <c r="AD40" s="27"/>
      <c r="AE40" s="27"/>
      <c r="AF40" s="27"/>
      <c r="AG40" s="27"/>
      <c r="AH40" s="27"/>
      <c r="AI40" s="27"/>
      <c r="AJ40" s="32">
        <f t="shared" si="1"/>
        <v>12200</v>
      </c>
      <c r="AK40" s="25"/>
      <c r="AL40" s="25"/>
      <c r="AM40" s="25"/>
      <c r="AN40" s="25"/>
      <c r="AO40" s="25"/>
      <c r="AP40" s="25"/>
      <c r="AQ40" s="25"/>
    </row>
    <row r="41" ht="22.5" customHeight="1">
      <c r="A41" s="26" t="s">
        <v>121</v>
      </c>
      <c r="B41" s="26" t="s">
        <v>25</v>
      </c>
      <c r="C41" s="26" t="s">
        <v>27</v>
      </c>
      <c r="D41" s="26">
        <v>0.0</v>
      </c>
      <c r="E41" s="26" t="s">
        <v>26</v>
      </c>
      <c r="F41" s="26" t="s">
        <v>37</v>
      </c>
      <c r="G41" s="26">
        <v>3000.0</v>
      </c>
      <c r="H41" s="26" t="s">
        <v>36</v>
      </c>
      <c r="I41" s="26" t="s">
        <v>40</v>
      </c>
      <c r="J41" s="26">
        <v>0.0</v>
      </c>
      <c r="K41" s="26" t="s">
        <v>39</v>
      </c>
      <c r="L41" s="26" t="s">
        <v>44</v>
      </c>
      <c r="M41" s="26">
        <v>5700.0</v>
      </c>
      <c r="N41" s="26" t="s">
        <v>221</v>
      </c>
      <c r="O41" s="26" t="s">
        <v>40</v>
      </c>
      <c r="P41" s="26">
        <v>0.0</v>
      </c>
      <c r="Q41" s="26" t="s">
        <v>186</v>
      </c>
      <c r="R41" s="26" t="s">
        <v>204</v>
      </c>
      <c r="S41" s="26">
        <v>3500.0</v>
      </c>
      <c r="T41" s="26" t="s">
        <v>203</v>
      </c>
      <c r="U41" s="26" t="s">
        <v>40</v>
      </c>
      <c r="V41" s="26"/>
      <c r="W41" s="26" t="s">
        <v>202</v>
      </c>
      <c r="X41" s="26" t="s">
        <v>209</v>
      </c>
      <c r="Y41" s="26"/>
      <c r="Z41" s="26" t="s">
        <v>52</v>
      </c>
      <c r="AA41" s="26" t="s">
        <v>53</v>
      </c>
      <c r="AB41" s="26"/>
      <c r="AC41" s="26"/>
      <c r="AD41" s="26"/>
      <c r="AE41" s="26"/>
      <c r="AF41" s="26"/>
      <c r="AG41" s="26"/>
      <c r="AH41" s="26"/>
      <c r="AI41" s="26"/>
      <c r="AJ41" s="32">
        <f t="shared" si="1"/>
        <v>12200</v>
      </c>
      <c r="AK41" s="25"/>
      <c r="AL41" s="25"/>
      <c r="AM41" s="25"/>
      <c r="AN41" s="25"/>
      <c r="AO41" s="25"/>
      <c r="AP41" s="25"/>
      <c r="AQ41" s="25"/>
    </row>
    <row r="42" ht="22.5" customHeight="1">
      <c r="A42" s="26" t="s">
        <v>124</v>
      </c>
      <c r="B42" s="26" t="s">
        <v>25</v>
      </c>
      <c r="C42" s="26" t="s">
        <v>27</v>
      </c>
      <c r="D42" s="26">
        <v>0.0</v>
      </c>
      <c r="E42" s="26" t="s">
        <v>26</v>
      </c>
      <c r="F42" s="26" t="s">
        <v>37</v>
      </c>
      <c r="G42" s="26">
        <v>3000.0</v>
      </c>
      <c r="H42" s="26" t="s">
        <v>36</v>
      </c>
      <c r="I42" s="26" t="s">
        <v>40</v>
      </c>
      <c r="J42" s="26">
        <v>0.0</v>
      </c>
      <c r="K42" s="26" t="s">
        <v>39</v>
      </c>
      <c r="L42" s="26" t="s">
        <v>44</v>
      </c>
      <c r="M42" s="26">
        <v>5700.0</v>
      </c>
      <c r="N42" s="26" t="s">
        <v>221</v>
      </c>
      <c r="O42" s="26" t="s">
        <v>40</v>
      </c>
      <c r="P42" s="26">
        <v>0.0</v>
      </c>
      <c r="Q42" s="26" t="s">
        <v>186</v>
      </c>
      <c r="R42" s="26" t="s">
        <v>204</v>
      </c>
      <c r="S42" s="26">
        <v>3500.0</v>
      </c>
      <c r="T42" s="26" t="s">
        <v>203</v>
      </c>
      <c r="U42" s="26" t="s">
        <v>40</v>
      </c>
      <c r="V42" s="26"/>
      <c r="W42" s="26" t="s">
        <v>202</v>
      </c>
      <c r="X42" s="26" t="s">
        <v>207</v>
      </c>
      <c r="Y42" s="26"/>
      <c r="Z42" s="26" t="s">
        <v>115</v>
      </c>
      <c r="AA42" s="26" t="s">
        <v>53</v>
      </c>
      <c r="AB42" s="26"/>
      <c r="AC42" s="26"/>
      <c r="AD42" s="26"/>
      <c r="AE42" s="26"/>
      <c r="AF42" s="26"/>
      <c r="AG42" s="26"/>
      <c r="AH42" s="26"/>
      <c r="AI42" s="26"/>
      <c r="AJ42" s="32">
        <f t="shared" si="1"/>
        <v>12200</v>
      </c>
      <c r="AK42" s="25"/>
      <c r="AL42" s="25"/>
      <c r="AM42" s="25"/>
      <c r="AN42" s="25"/>
      <c r="AO42" s="25"/>
      <c r="AP42" s="25"/>
      <c r="AQ42" s="25"/>
    </row>
    <row r="43" ht="22.5" customHeight="1">
      <c r="A43" s="26" t="s">
        <v>126</v>
      </c>
      <c r="B43" s="26" t="s">
        <v>25</v>
      </c>
      <c r="C43" s="26" t="s">
        <v>27</v>
      </c>
      <c r="D43" s="26">
        <v>0.0</v>
      </c>
      <c r="E43" s="26" t="s">
        <v>26</v>
      </c>
      <c r="F43" s="26" t="s">
        <v>37</v>
      </c>
      <c r="G43" s="26">
        <v>3000.0</v>
      </c>
      <c r="H43" s="26" t="s">
        <v>36</v>
      </c>
      <c r="I43" s="26" t="s">
        <v>40</v>
      </c>
      <c r="J43" s="26">
        <v>0.0</v>
      </c>
      <c r="K43" s="26" t="s">
        <v>39</v>
      </c>
      <c r="L43" s="26" t="s">
        <v>44</v>
      </c>
      <c r="M43" s="26">
        <v>5700.0</v>
      </c>
      <c r="N43" s="26" t="s">
        <v>221</v>
      </c>
      <c r="O43" s="26" t="s">
        <v>40</v>
      </c>
      <c r="P43" s="26">
        <v>0.0</v>
      </c>
      <c r="Q43" s="26" t="s">
        <v>186</v>
      </c>
      <c r="R43" s="26" t="s">
        <v>208</v>
      </c>
      <c r="S43" s="26">
        <v>3500.0</v>
      </c>
      <c r="T43" s="26" t="s">
        <v>52</v>
      </c>
      <c r="U43" s="27"/>
      <c r="V43" s="27"/>
      <c r="W43" s="26" t="s">
        <v>53</v>
      </c>
      <c r="X43" s="27"/>
      <c r="Y43" s="27"/>
      <c r="Z43" s="27"/>
      <c r="AA43" s="27"/>
      <c r="AB43" s="27"/>
      <c r="AC43" s="27"/>
      <c r="AD43" s="27"/>
      <c r="AE43" s="27"/>
      <c r="AF43" s="27"/>
      <c r="AG43" s="27"/>
      <c r="AH43" s="27"/>
      <c r="AI43" s="27"/>
      <c r="AJ43" s="32">
        <f t="shared" si="1"/>
        <v>12200</v>
      </c>
      <c r="AK43" s="25"/>
      <c r="AL43" s="25"/>
      <c r="AM43" s="25"/>
      <c r="AN43" s="25"/>
      <c r="AO43" s="25"/>
      <c r="AP43" s="25"/>
      <c r="AQ43" s="25"/>
    </row>
    <row r="44" ht="22.5" customHeight="1">
      <c r="A44" s="26" t="s">
        <v>130</v>
      </c>
      <c r="B44" s="26" t="s">
        <v>25</v>
      </c>
      <c r="C44" s="26" t="s">
        <v>27</v>
      </c>
      <c r="D44" s="26">
        <v>0.0</v>
      </c>
      <c r="E44" s="26" t="s">
        <v>26</v>
      </c>
      <c r="F44" s="26" t="s">
        <v>37</v>
      </c>
      <c r="G44" s="26">
        <v>3000.0</v>
      </c>
      <c r="H44" s="26" t="s">
        <v>36</v>
      </c>
      <c r="I44" s="26" t="s">
        <v>40</v>
      </c>
      <c r="J44" s="26">
        <v>0.0</v>
      </c>
      <c r="K44" s="26" t="s">
        <v>39</v>
      </c>
      <c r="L44" s="26" t="s">
        <v>44</v>
      </c>
      <c r="M44" s="26">
        <v>5700.0</v>
      </c>
      <c r="N44" s="26" t="s">
        <v>221</v>
      </c>
      <c r="O44" s="26" t="s">
        <v>40</v>
      </c>
      <c r="P44" s="26">
        <v>0.0</v>
      </c>
      <c r="Q44" s="26" t="s">
        <v>186</v>
      </c>
      <c r="R44" s="26">
        <v>9.0</v>
      </c>
      <c r="S44" s="26">
        <v>3500.0</v>
      </c>
      <c r="T44" s="26" t="s">
        <v>199</v>
      </c>
      <c r="U44" s="26" t="s">
        <v>40</v>
      </c>
      <c r="V44" s="26"/>
      <c r="W44" s="26" t="s">
        <v>202</v>
      </c>
      <c r="X44" s="26" t="s">
        <v>209</v>
      </c>
      <c r="Y44" s="26"/>
      <c r="Z44" s="26" t="s">
        <v>52</v>
      </c>
      <c r="AA44" s="26" t="s">
        <v>53</v>
      </c>
      <c r="AB44" s="26"/>
      <c r="AC44" s="26"/>
      <c r="AD44" s="26"/>
      <c r="AE44" s="26"/>
      <c r="AF44" s="26"/>
      <c r="AG44" s="26"/>
      <c r="AH44" s="26"/>
      <c r="AI44" s="26"/>
      <c r="AJ44" s="32">
        <f t="shared" si="1"/>
        <v>12200</v>
      </c>
      <c r="AK44" s="25"/>
      <c r="AL44" s="25"/>
      <c r="AM44" s="25"/>
      <c r="AN44" s="25"/>
      <c r="AO44" s="25"/>
      <c r="AP44" s="25"/>
      <c r="AQ44" s="25"/>
    </row>
    <row r="45" ht="22.5" customHeight="1">
      <c r="A45" s="26" t="s">
        <v>132</v>
      </c>
      <c r="B45" s="26" t="s">
        <v>25</v>
      </c>
      <c r="C45" s="26" t="s">
        <v>27</v>
      </c>
      <c r="D45" s="26">
        <v>0.0</v>
      </c>
      <c r="E45" s="26" t="s">
        <v>26</v>
      </c>
      <c r="F45" s="26" t="s">
        <v>37</v>
      </c>
      <c r="G45" s="26">
        <v>3000.0</v>
      </c>
      <c r="H45" s="26" t="s">
        <v>36</v>
      </c>
      <c r="I45" s="26" t="s">
        <v>40</v>
      </c>
      <c r="J45" s="26">
        <v>0.0</v>
      </c>
      <c r="K45" s="26" t="s">
        <v>39</v>
      </c>
      <c r="L45" s="26" t="s">
        <v>44</v>
      </c>
      <c r="M45" s="26">
        <v>5700.0</v>
      </c>
      <c r="N45" s="26" t="s">
        <v>221</v>
      </c>
      <c r="O45" s="26" t="s">
        <v>40</v>
      </c>
      <c r="P45" s="26">
        <v>0.0</v>
      </c>
      <c r="Q45" s="26" t="s">
        <v>186</v>
      </c>
      <c r="R45" s="26">
        <v>9.0</v>
      </c>
      <c r="S45" s="26">
        <v>3500.0</v>
      </c>
      <c r="T45" s="26" t="s">
        <v>199</v>
      </c>
      <c r="U45" s="26" t="s">
        <v>40</v>
      </c>
      <c r="V45" s="26"/>
      <c r="W45" s="26" t="s">
        <v>202</v>
      </c>
      <c r="X45" s="26" t="s">
        <v>207</v>
      </c>
      <c r="Y45" s="26"/>
      <c r="Z45" s="26" t="s">
        <v>115</v>
      </c>
      <c r="AA45" s="26" t="s">
        <v>53</v>
      </c>
      <c r="AB45" s="26"/>
      <c r="AC45" s="26"/>
      <c r="AD45" s="26"/>
      <c r="AE45" s="26"/>
      <c r="AF45" s="26"/>
      <c r="AG45" s="26"/>
      <c r="AH45" s="26"/>
      <c r="AI45" s="26"/>
      <c r="AJ45" s="32">
        <f t="shared" si="1"/>
        <v>12200</v>
      </c>
      <c r="AK45" s="25"/>
      <c r="AL45" s="25"/>
      <c r="AM45" s="25"/>
      <c r="AN45" s="25"/>
      <c r="AO45" s="25"/>
      <c r="AP45" s="25"/>
      <c r="AQ45" s="25"/>
    </row>
    <row r="46" ht="22.5" customHeight="1">
      <c r="A46" s="26" t="s">
        <v>134</v>
      </c>
      <c r="B46" s="26" t="s">
        <v>25</v>
      </c>
      <c r="C46" s="26" t="s">
        <v>27</v>
      </c>
      <c r="D46" s="26">
        <v>0.0</v>
      </c>
      <c r="E46" s="26" t="s">
        <v>26</v>
      </c>
      <c r="F46" s="26" t="s">
        <v>37</v>
      </c>
      <c r="G46" s="26">
        <v>3000.0</v>
      </c>
      <c r="H46" s="26" t="s">
        <v>36</v>
      </c>
      <c r="I46" s="26" t="s">
        <v>40</v>
      </c>
      <c r="J46" s="26">
        <v>0.0</v>
      </c>
      <c r="K46" s="26" t="s">
        <v>39</v>
      </c>
      <c r="L46" s="26" t="s">
        <v>44</v>
      </c>
      <c r="M46" s="26">
        <v>5700.0</v>
      </c>
      <c r="N46" s="26" t="s">
        <v>221</v>
      </c>
      <c r="O46" s="26" t="s">
        <v>40</v>
      </c>
      <c r="P46" s="26">
        <v>0.0</v>
      </c>
      <c r="Q46" s="26" t="s">
        <v>186</v>
      </c>
      <c r="R46" s="26" t="s">
        <v>211</v>
      </c>
      <c r="S46" s="26">
        <v>3500.0</v>
      </c>
      <c r="T46" s="26"/>
      <c r="U46" s="26">
        <v>1.0</v>
      </c>
      <c r="V46" s="26"/>
      <c r="W46" s="26" t="s">
        <v>53</v>
      </c>
      <c r="X46" s="27"/>
      <c r="Y46" s="27"/>
      <c r="Z46" s="26" t="s">
        <v>53</v>
      </c>
      <c r="AA46" s="27"/>
      <c r="AB46" s="27"/>
      <c r="AC46" s="27"/>
      <c r="AD46" s="27"/>
      <c r="AE46" s="27"/>
      <c r="AF46" s="27"/>
      <c r="AG46" s="27"/>
      <c r="AH46" s="27"/>
      <c r="AI46" s="27"/>
      <c r="AJ46" s="32">
        <f t="shared" si="1"/>
        <v>12200</v>
      </c>
      <c r="AK46" s="25"/>
      <c r="AL46" s="25"/>
      <c r="AM46" s="25"/>
      <c r="AN46" s="25"/>
      <c r="AO46" s="25"/>
      <c r="AP46" s="25"/>
      <c r="AQ46" s="25"/>
    </row>
    <row r="47" ht="22.5" customHeight="1">
      <c r="A47" s="26" t="s">
        <v>136</v>
      </c>
      <c r="B47" s="26" t="s">
        <v>25</v>
      </c>
      <c r="C47" s="40" t="s">
        <v>37</v>
      </c>
      <c r="D47" s="40">
        <v>3000.0</v>
      </c>
      <c r="E47" s="26" t="s">
        <v>223</v>
      </c>
      <c r="F47" s="26" t="s">
        <v>225</v>
      </c>
      <c r="G47" s="26">
        <v>3500.0</v>
      </c>
      <c r="H47" s="26" t="s">
        <v>36</v>
      </c>
      <c r="I47" s="26" t="s">
        <v>40</v>
      </c>
      <c r="J47" s="26">
        <v>0.0</v>
      </c>
      <c r="K47" s="26" t="s">
        <v>183</v>
      </c>
      <c r="L47" s="26">
        <v>9.0</v>
      </c>
      <c r="M47" s="26">
        <v>3500.0</v>
      </c>
      <c r="N47" s="26" t="s">
        <v>186</v>
      </c>
      <c r="O47" s="26" t="s">
        <v>190</v>
      </c>
      <c r="P47" s="26">
        <v>0.0</v>
      </c>
      <c r="Q47" s="26" t="s">
        <v>189</v>
      </c>
      <c r="R47" s="27"/>
      <c r="S47" s="26">
        <v>3500.0</v>
      </c>
      <c r="T47" s="26" t="s">
        <v>53</v>
      </c>
      <c r="U47" s="27"/>
      <c r="V47" s="27"/>
      <c r="W47" s="27"/>
      <c r="X47" s="27"/>
      <c r="Y47" s="27"/>
      <c r="Z47" s="27"/>
      <c r="AA47" s="27"/>
      <c r="AB47" s="27"/>
      <c r="AC47" s="27"/>
      <c r="AD47" s="27"/>
      <c r="AE47" s="27"/>
      <c r="AF47" s="27"/>
      <c r="AG47" s="27"/>
      <c r="AH47" s="27"/>
      <c r="AI47" s="27"/>
      <c r="AJ47" s="32">
        <f t="shared" si="1"/>
        <v>13500</v>
      </c>
      <c r="AK47" s="25"/>
      <c r="AL47" s="25"/>
      <c r="AM47" s="25"/>
      <c r="AN47" s="25"/>
      <c r="AO47" s="25"/>
      <c r="AP47" s="25"/>
      <c r="AQ47" s="25"/>
    </row>
    <row r="48" ht="22.5" customHeight="1">
      <c r="A48" s="26" t="s">
        <v>138</v>
      </c>
      <c r="B48" s="26" t="s">
        <v>25</v>
      </c>
      <c r="C48" s="40" t="s">
        <v>37</v>
      </c>
      <c r="D48" s="40">
        <v>3000.0</v>
      </c>
      <c r="E48" s="26" t="s">
        <v>223</v>
      </c>
      <c r="F48" s="26" t="s">
        <v>225</v>
      </c>
      <c r="G48" s="26">
        <v>3500.0</v>
      </c>
      <c r="H48" s="26" t="s">
        <v>36</v>
      </c>
      <c r="I48" s="26" t="s">
        <v>40</v>
      </c>
      <c r="J48" s="26">
        <v>0.0</v>
      </c>
      <c r="K48" s="26" t="s">
        <v>183</v>
      </c>
      <c r="L48" s="26">
        <v>9.0</v>
      </c>
      <c r="M48" s="26">
        <v>3500.0</v>
      </c>
      <c r="N48" s="26" t="s">
        <v>186</v>
      </c>
      <c r="O48" s="26" t="s">
        <v>40</v>
      </c>
      <c r="P48" s="26">
        <v>0.0</v>
      </c>
      <c r="Q48" s="26" t="s">
        <v>413</v>
      </c>
      <c r="R48" s="26" t="s">
        <v>44</v>
      </c>
      <c r="S48" s="26">
        <v>8500.0</v>
      </c>
      <c r="T48" s="51" t="s">
        <v>79</v>
      </c>
      <c r="U48" s="51" t="s">
        <v>40</v>
      </c>
      <c r="V48" s="52"/>
      <c r="W48" s="51" t="s">
        <v>79</v>
      </c>
      <c r="X48" s="53" t="s">
        <v>398</v>
      </c>
      <c r="Y48" s="54"/>
      <c r="Z48" s="51" t="s">
        <v>53</v>
      </c>
      <c r="AA48" s="54"/>
      <c r="AB48" s="54"/>
      <c r="AC48" s="53" t="s">
        <v>53</v>
      </c>
      <c r="AD48" s="27"/>
      <c r="AE48" s="27"/>
      <c r="AF48" s="27"/>
      <c r="AG48" s="27"/>
      <c r="AH48" s="27"/>
      <c r="AI48" s="27"/>
      <c r="AJ48" s="27">
        <f t="shared" si="1"/>
        <v>18500</v>
      </c>
      <c r="AK48" s="25"/>
      <c r="AL48" s="25"/>
      <c r="AM48" s="25"/>
      <c r="AN48" s="25"/>
      <c r="AO48" s="25"/>
      <c r="AP48" s="25"/>
      <c r="AQ48" s="25"/>
    </row>
    <row r="49" ht="22.5" customHeight="1">
      <c r="A49" s="26" t="s">
        <v>140</v>
      </c>
      <c r="B49" s="26" t="s">
        <v>25</v>
      </c>
      <c r="C49" s="40" t="s">
        <v>37</v>
      </c>
      <c r="D49" s="40">
        <v>3000.0</v>
      </c>
      <c r="E49" s="26" t="s">
        <v>223</v>
      </c>
      <c r="F49" s="26" t="s">
        <v>225</v>
      </c>
      <c r="G49" s="26">
        <v>3500.0</v>
      </c>
      <c r="H49" s="26" t="s">
        <v>36</v>
      </c>
      <c r="I49" s="26" t="s">
        <v>40</v>
      </c>
      <c r="J49" s="26">
        <v>0.0</v>
      </c>
      <c r="K49" s="26" t="s">
        <v>183</v>
      </c>
      <c r="L49" s="26">
        <v>9.0</v>
      </c>
      <c r="M49" s="26">
        <v>3500.0</v>
      </c>
      <c r="N49" s="26" t="s">
        <v>186</v>
      </c>
      <c r="O49" s="26" t="s">
        <v>204</v>
      </c>
      <c r="P49" s="26"/>
      <c r="Q49" s="26" t="s">
        <v>203</v>
      </c>
      <c r="R49" s="26" t="s">
        <v>40</v>
      </c>
      <c r="S49" s="26"/>
      <c r="T49" s="26" t="s">
        <v>202</v>
      </c>
      <c r="U49" s="26" t="s">
        <v>207</v>
      </c>
      <c r="V49" s="26"/>
      <c r="W49" s="26" t="s">
        <v>115</v>
      </c>
      <c r="X49" s="27"/>
      <c r="Y49" s="27"/>
      <c r="Z49" s="26" t="s">
        <v>53</v>
      </c>
      <c r="AA49" s="27"/>
      <c r="AB49" s="27"/>
      <c r="AC49" s="27"/>
      <c r="AD49" s="27"/>
      <c r="AE49" s="27"/>
      <c r="AF49" s="27"/>
      <c r="AG49" s="27"/>
      <c r="AH49" s="27"/>
      <c r="AI49" s="27"/>
      <c r="AJ49" s="32">
        <f t="shared" si="1"/>
        <v>10000</v>
      </c>
      <c r="AK49" s="25"/>
      <c r="AL49" s="25"/>
      <c r="AM49" s="25"/>
      <c r="AN49" s="25"/>
      <c r="AO49" s="25"/>
      <c r="AP49" s="25"/>
      <c r="AQ49" s="25"/>
    </row>
    <row r="50" ht="22.5" customHeight="1">
      <c r="A50" s="26" t="s">
        <v>142</v>
      </c>
      <c r="B50" s="26" t="s">
        <v>25</v>
      </c>
      <c r="C50" s="40" t="s">
        <v>37</v>
      </c>
      <c r="D50" s="40">
        <v>3000.0</v>
      </c>
      <c r="E50" s="26" t="s">
        <v>223</v>
      </c>
      <c r="F50" s="26" t="s">
        <v>225</v>
      </c>
      <c r="G50" s="26">
        <v>3500.0</v>
      </c>
      <c r="H50" s="26" t="s">
        <v>36</v>
      </c>
      <c r="I50" s="26" t="s">
        <v>40</v>
      </c>
      <c r="J50" s="26">
        <v>0.0</v>
      </c>
      <c r="K50" s="26" t="s">
        <v>183</v>
      </c>
      <c r="L50" s="26">
        <v>9.0</v>
      </c>
      <c r="M50" s="26">
        <v>3500.0</v>
      </c>
      <c r="N50" s="26" t="s">
        <v>186</v>
      </c>
      <c r="O50" s="26" t="s">
        <v>208</v>
      </c>
      <c r="P50" s="26"/>
      <c r="Q50" s="26" t="s">
        <v>52</v>
      </c>
      <c r="R50" s="26"/>
      <c r="S50" s="26"/>
      <c r="T50" s="26" t="s">
        <v>53</v>
      </c>
      <c r="U50" s="27"/>
      <c r="V50" s="27"/>
      <c r="W50" s="27"/>
      <c r="X50" s="27"/>
      <c r="Y50" s="27"/>
      <c r="Z50" s="27"/>
      <c r="AA50" s="27"/>
      <c r="AB50" s="27"/>
      <c r="AC50" s="27"/>
      <c r="AD50" s="27"/>
      <c r="AE50" s="27"/>
      <c r="AF50" s="27"/>
      <c r="AG50" s="27"/>
      <c r="AH50" s="27"/>
      <c r="AI50" s="27"/>
      <c r="AJ50" s="32">
        <f t="shared" si="1"/>
        <v>10000</v>
      </c>
      <c r="AK50" s="25"/>
      <c r="AL50" s="25"/>
      <c r="AM50" s="25"/>
      <c r="AN50" s="25"/>
      <c r="AO50" s="25"/>
      <c r="AP50" s="25"/>
      <c r="AQ50" s="25"/>
    </row>
    <row r="51" ht="22.5" customHeight="1">
      <c r="A51" s="26" t="s">
        <v>144</v>
      </c>
      <c r="B51" s="26" t="s">
        <v>25</v>
      </c>
      <c r="C51" s="40" t="s">
        <v>37</v>
      </c>
      <c r="D51" s="40">
        <v>3000.0</v>
      </c>
      <c r="E51" s="26" t="s">
        <v>223</v>
      </c>
      <c r="F51" s="26" t="s">
        <v>225</v>
      </c>
      <c r="G51" s="26">
        <v>3500.0</v>
      </c>
      <c r="H51" s="26" t="s">
        <v>36</v>
      </c>
      <c r="I51" s="26" t="s">
        <v>40</v>
      </c>
      <c r="J51" s="26">
        <v>0.0</v>
      </c>
      <c r="K51" s="26" t="s">
        <v>183</v>
      </c>
      <c r="L51" s="26">
        <v>9.0</v>
      </c>
      <c r="M51" s="26">
        <v>3500.0</v>
      </c>
      <c r="N51" s="26" t="s">
        <v>186</v>
      </c>
      <c r="O51" s="26">
        <v>9.0</v>
      </c>
      <c r="P51" s="26"/>
      <c r="Q51" s="26" t="s">
        <v>199</v>
      </c>
      <c r="R51" s="26" t="s">
        <v>40</v>
      </c>
      <c r="S51" s="26"/>
      <c r="T51" s="26" t="s">
        <v>202</v>
      </c>
      <c r="U51" s="26" t="s">
        <v>209</v>
      </c>
      <c r="V51" s="26"/>
      <c r="W51" s="26" t="s">
        <v>52</v>
      </c>
      <c r="X51" s="27"/>
      <c r="Y51" s="27"/>
      <c r="Z51" s="26" t="s">
        <v>53</v>
      </c>
      <c r="AA51" s="27"/>
      <c r="AB51" s="27"/>
      <c r="AC51" s="27"/>
      <c r="AD51" s="27"/>
      <c r="AE51" s="27"/>
      <c r="AF51" s="27"/>
      <c r="AG51" s="27"/>
      <c r="AH51" s="27"/>
      <c r="AI51" s="27"/>
      <c r="AJ51" s="32">
        <f t="shared" si="1"/>
        <v>10000</v>
      </c>
      <c r="AK51" s="25"/>
      <c r="AL51" s="25"/>
      <c r="AM51" s="25"/>
      <c r="AN51" s="25"/>
      <c r="AO51" s="25"/>
      <c r="AP51" s="25"/>
      <c r="AQ51" s="25"/>
    </row>
    <row r="52" ht="22.5" customHeight="1">
      <c r="A52" s="26" t="s">
        <v>146</v>
      </c>
      <c r="B52" s="26" t="s">
        <v>25</v>
      </c>
      <c r="C52" s="40" t="s">
        <v>37</v>
      </c>
      <c r="D52" s="40">
        <v>3000.0</v>
      </c>
      <c r="E52" s="26" t="s">
        <v>223</v>
      </c>
      <c r="F52" s="26" t="s">
        <v>225</v>
      </c>
      <c r="G52" s="26">
        <v>3500.0</v>
      </c>
      <c r="H52" s="26" t="s">
        <v>36</v>
      </c>
      <c r="I52" s="26" t="s">
        <v>40</v>
      </c>
      <c r="J52" s="26">
        <v>0.0</v>
      </c>
      <c r="K52" s="26" t="s">
        <v>183</v>
      </c>
      <c r="L52" s="26">
        <v>9.0</v>
      </c>
      <c r="M52" s="26">
        <v>3500.0</v>
      </c>
      <c r="N52" s="26" t="s">
        <v>186</v>
      </c>
      <c r="O52" s="26">
        <v>9.0</v>
      </c>
      <c r="P52" s="26"/>
      <c r="Q52" s="26" t="s">
        <v>199</v>
      </c>
      <c r="R52" s="26" t="s">
        <v>40</v>
      </c>
      <c r="S52" s="26"/>
      <c r="T52" s="26" t="s">
        <v>202</v>
      </c>
      <c r="U52" s="26" t="s">
        <v>207</v>
      </c>
      <c r="V52" s="26"/>
      <c r="W52" s="26" t="s">
        <v>115</v>
      </c>
      <c r="X52" s="27"/>
      <c r="Y52" s="27"/>
      <c r="Z52" s="26" t="s">
        <v>53</v>
      </c>
      <c r="AA52" s="27"/>
      <c r="AB52" s="27"/>
      <c r="AC52" s="27"/>
      <c r="AD52" s="27"/>
      <c r="AE52" s="27"/>
      <c r="AF52" s="27"/>
      <c r="AG52" s="27"/>
      <c r="AH52" s="27"/>
      <c r="AI52" s="27"/>
      <c r="AJ52" s="32">
        <f t="shared" si="1"/>
        <v>10000</v>
      </c>
      <c r="AK52" s="25"/>
      <c r="AL52" s="25"/>
      <c r="AM52" s="25"/>
      <c r="AN52" s="25"/>
      <c r="AO52" s="25"/>
      <c r="AP52" s="25"/>
      <c r="AQ52" s="25"/>
    </row>
    <row r="53" ht="22.5" customHeight="1">
      <c r="A53" s="26" t="s">
        <v>148</v>
      </c>
      <c r="B53" s="26" t="s">
        <v>25</v>
      </c>
      <c r="C53" s="40" t="s">
        <v>37</v>
      </c>
      <c r="D53" s="40">
        <v>3000.0</v>
      </c>
      <c r="E53" s="26" t="s">
        <v>223</v>
      </c>
      <c r="F53" s="26" t="s">
        <v>225</v>
      </c>
      <c r="G53" s="26">
        <v>3500.0</v>
      </c>
      <c r="H53" s="26" t="s">
        <v>36</v>
      </c>
      <c r="I53" s="26" t="s">
        <v>40</v>
      </c>
      <c r="J53" s="26">
        <v>0.0</v>
      </c>
      <c r="K53" s="26" t="s">
        <v>183</v>
      </c>
      <c r="L53" s="26">
        <v>9.0</v>
      </c>
      <c r="M53" s="26">
        <v>3500.0</v>
      </c>
      <c r="N53" s="26" t="s">
        <v>186</v>
      </c>
      <c r="O53" s="26" t="s">
        <v>211</v>
      </c>
      <c r="P53" s="26"/>
      <c r="Q53" s="26" t="s">
        <v>210</v>
      </c>
      <c r="R53" s="26">
        <v>1.0</v>
      </c>
      <c r="S53" s="26"/>
      <c r="T53" s="26" t="s">
        <v>53</v>
      </c>
      <c r="U53" s="27"/>
      <c r="V53" s="27"/>
      <c r="W53" s="26" t="s">
        <v>53</v>
      </c>
      <c r="X53" s="27"/>
      <c r="Y53" s="27"/>
      <c r="Z53" s="27"/>
      <c r="AA53" s="27"/>
      <c r="AB53" s="27"/>
      <c r="AC53" s="27"/>
      <c r="AD53" s="27"/>
      <c r="AE53" s="27"/>
      <c r="AF53" s="27"/>
      <c r="AG53" s="27"/>
      <c r="AH53" s="27"/>
      <c r="AI53" s="27"/>
      <c r="AJ53" s="32">
        <f t="shared" si="1"/>
        <v>10000</v>
      </c>
      <c r="AK53" s="25"/>
      <c r="AL53" s="25"/>
      <c r="AM53" s="25"/>
      <c r="AN53" s="25"/>
      <c r="AO53" s="25"/>
      <c r="AP53" s="25"/>
      <c r="AQ53" s="25"/>
    </row>
    <row r="54" ht="22.5" customHeight="1">
      <c r="A54" s="26" t="s">
        <v>150</v>
      </c>
      <c r="B54" s="26" t="s">
        <v>25</v>
      </c>
      <c r="C54" s="40" t="s">
        <v>37</v>
      </c>
      <c r="D54" s="40">
        <v>3000.0</v>
      </c>
      <c r="E54" s="26" t="s">
        <v>223</v>
      </c>
      <c r="F54" s="26" t="s">
        <v>225</v>
      </c>
      <c r="G54" s="26">
        <v>3500.0</v>
      </c>
      <c r="H54" s="26" t="s">
        <v>36</v>
      </c>
      <c r="I54" s="26" t="s">
        <v>40</v>
      </c>
      <c r="J54" s="26">
        <v>0.0</v>
      </c>
      <c r="K54" s="26" t="s">
        <v>183</v>
      </c>
      <c r="L54" s="26">
        <v>9.0</v>
      </c>
      <c r="M54" s="26">
        <v>3500.0</v>
      </c>
      <c r="N54" s="26" t="s">
        <v>199</v>
      </c>
      <c r="O54" s="26" t="s">
        <v>40</v>
      </c>
      <c r="P54" s="26"/>
      <c r="Q54" s="26" t="s">
        <v>202</v>
      </c>
      <c r="R54" s="26" t="s">
        <v>209</v>
      </c>
      <c r="S54" s="26"/>
      <c r="T54" s="26" t="s">
        <v>52</v>
      </c>
      <c r="U54" s="26"/>
      <c r="V54" s="26"/>
      <c r="W54" s="26" t="s">
        <v>53</v>
      </c>
      <c r="X54" s="27"/>
      <c r="Y54" s="27"/>
      <c r="Z54" s="27"/>
      <c r="AA54" s="27"/>
      <c r="AB54" s="27"/>
      <c r="AC54" s="27"/>
      <c r="AD54" s="27"/>
      <c r="AE54" s="27"/>
      <c r="AF54" s="27"/>
      <c r="AG54" s="27"/>
      <c r="AH54" s="27"/>
      <c r="AI54" s="27"/>
      <c r="AJ54" s="32">
        <f t="shared" si="1"/>
        <v>10000</v>
      </c>
      <c r="AK54" s="25"/>
      <c r="AL54" s="25"/>
      <c r="AM54" s="25"/>
      <c r="AN54" s="25"/>
      <c r="AO54" s="25"/>
      <c r="AP54" s="25"/>
      <c r="AQ54" s="25"/>
    </row>
    <row r="55" ht="22.5" customHeight="1">
      <c r="A55" s="26" t="s">
        <v>153</v>
      </c>
      <c r="B55" s="26" t="s">
        <v>25</v>
      </c>
      <c r="C55" s="40" t="s">
        <v>37</v>
      </c>
      <c r="D55" s="40">
        <v>3000.0</v>
      </c>
      <c r="E55" s="26" t="s">
        <v>223</v>
      </c>
      <c r="F55" s="26" t="s">
        <v>225</v>
      </c>
      <c r="G55" s="26">
        <v>3500.0</v>
      </c>
      <c r="H55" s="26" t="s">
        <v>36</v>
      </c>
      <c r="I55" s="26" t="s">
        <v>40</v>
      </c>
      <c r="J55" s="26">
        <v>0.0</v>
      </c>
      <c r="K55" s="26" t="s">
        <v>183</v>
      </c>
      <c r="L55" s="26">
        <v>9.0</v>
      </c>
      <c r="M55" s="26">
        <v>3500.0</v>
      </c>
      <c r="N55" s="26" t="s">
        <v>199</v>
      </c>
      <c r="O55" s="26" t="s">
        <v>40</v>
      </c>
      <c r="P55" s="26"/>
      <c r="Q55" s="26" t="s">
        <v>202</v>
      </c>
      <c r="R55" s="26" t="s">
        <v>207</v>
      </c>
      <c r="S55" s="26"/>
      <c r="T55" s="26" t="s">
        <v>115</v>
      </c>
      <c r="U55" s="26"/>
      <c r="V55" s="26"/>
      <c r="W55" s="26" t="s">
        <v>53</v>
      </c>
      <c r="X55" s="27"/>
      <c r="Y55" s="27"/>
      <c r="Z55" s="27"/>
      <c r="AA55" s="27"/>
      <c r="AB55" s="27"/>
      <c r="AC55" s="27"/>
      <c r="AD55" s="27"/>
      <c r="AE55" s="27"/>
      <c r="AF55" s="27"/>
      <c r="AG55" s="27"/>
      <c r="AH55" s="27"/>
      <c r="AI55" s="27"/>
      <c r="AJ55" s="32">
        <f t="shared" si="1"/>
        <v>10000</v>
      </c>
      <c r="AK55" s="25"/>
      <c r="AL55" s="25"/>
      <c r="AM55" s="25"/>
      <c r="AN55" s="25"/>
      <c r="AO55" s="25"/>
      <c r="AP55" s="25"/>
      <c r="AQ55" s="25"/>
    </row>
    <row r="56" ht="22.5" customHeight="1">
      <c r="A56" s="26" t="s">
        <v>156</v>
      </c>
      <c r="B56" s="26" t="s">
        <v>25</v>
      </c>
      <c r="C56" s="40" t="s">
        <v>37</v>
      </c>
      <c r="D56" s="40">
        <v>3000.0</v>
      </c>
      <c r="E56" s="26" t="s">
        <v>223</v>
      </c>
      <c r="F56" s="26" t="s">
        <v>225</v>
      </c>
      <c r="G56" s="26">
        <v>3500.0</v>
      </c>
      <c r="H56" s="26" t="s">
        <v>36</v>
      </c>
      <c r="I56" s="26" t="s">
        <v>40</v>
      </c>
      <c r="J56" s="26">
        <v>0.0</v>
      </c>
      <c r="K56" s="26" t="s">
        <v>183</v>
      </c>
      <c r="L56" s="26" t="s">
        <v>211</v>
      </c>
      <c r="M56" s="26">
        <v>3500.0</v>
      </c>
      <c r="N56" s="26" t="s">
        <v>210</v>
      </c>
      <c r="O56" s="26">
        <v>1.0</v>
      </c>
      <c r="P56" s="26"/>
      <c r="Q56" s="26" t="s">
        <v>53</v>
      </c>
      <c r="R56" s="27"/>
      <c r="S56" s="27"/>
      <c r="T56" s="26" t="s">
        <v>53</v>
      </c>
      <c r="U56" s="27"/>
      <c r="V56" s="27"/>
      <c r="W56" s="27"/>
      <c r="X56" s="27"/>
      <c r="Y56" s="27"/>
      <c r="Z56" s="27"/>
      <c r="AA56" s="27"/>
      <c r="AB56" s="27"/>
      <c r="AC56" s="27"/>
      <c r="AD56" s="27"/>
      <c r="AE56" s="27"/>
      <c r="AF56" s="27"/>
      <c r="AG56" s="27"/>
      <c r="AH56" s="27"/>
      <c r="AI56" s="27"/>
      <c r="AJ56" s="32">
        <f t="shared" si="1"/>
        <v>10000</v>
      </c>
      <c r="AK56" s="25"/>
      <c r="AL56" s="25"/>
      <c r="AM56" s="25"/>
      <c r="AN56" s="25"/>
      <c r="AO56" s="25"/>
      <c r="AP56" s="25"/>
      <c r="AQ56" s="25"/>
    </row>
    <row r="57" ht="22.5" customHeight="1">
      <c r="A57" s="26" t="s">
        <v>158</v>
      </c>
      <c r="B57" s="26" t="s">
        <v>25</v>
      </c>
      <c r="C57" s="40" t="s">
        <v>37</v>
      </c>
      <c r="D57" s="40">
        <v>3000.0</v>
      </c>
      <c r="E57" s="26" t="s">
        <v>223</v>
      </c>
      <c r="F57" s="26" t="s">
        <v>225</v>
      </c>
      <c r="G57" s="26">
        <v>3500.0</v>
      </c>
      <c r="H57" s="26" t="s">
        <v>36</v>
      </c>
      <c r="I57" s="26" t="s">
        <v>40</v>
      </c>
      <c r="J57" s="26">
        <v>0.0</v>
      </c>
      <c r="K57" s="26" t="s">
        <v>183</v>
      </c>
      <c r="L57" s="26" t="s">
        <v>211</v>
      </c>
      <c r="M57" s="26">
        <v>3500.0</v>
      </c>
      <c r="N57" s="26" t="s">
        <v>215</v>
      </c>
      <c r="O57" s="26">
        <v>1.0</v>
      </c>
      <c r="P57" s="26"/>
      <c r="Q57" s="26" t="s">
        <v>53</v>
      </c>
      <c r="R57" s="27"/>
      <c r="S57" s="27"/>
      <c r="T57" s="26" t="s">
        <v>53</v>
      </c>
      <c r="U57" s="27"/>
      <c r="V57" s="27"/>
      <c r="W57" s="27"/>
      <c r="X57" s="27"/>
      <c r="Y57" s="27"/>
      <c r="Z57" s="27"/>
      <c r="AA57" s="27"/>
      <c r="AB57" s="27"/>
      <c r="AC57" s="27"/>
      <c r="AD57" s="27"/>
      <c r="AE57" s="27"/>
      <c r="AF57" s="27"/>
      <c r="AG57" s="27"/>
      <c r="AH57" s="27"/>
      <c r="AI57" s="27"/>
      <c r="AJ57" s="32">
        <f t="shared" si="1"/>
        <v>10000</v>
      </c>
      <c r="AK57" s="25"/>
      <c r="AL57" s="25"/>
      <c r="AM57" s="25"/>
      <c r="AN57" s="25"/>
      <c r="AO57" s="25"/>
      <c r="AP57" s="25"/>
      <c r="AQ57" s="25"/>
    </row>
    <row r="58" ht="22.5" customHeight="1">
      <c r="A58" s="26" t="s">
        <v>160</v>
      </c>
      <c r="B58" s="26" t="s">
        <v>25</v>
      </c>
      <c r="C58" s="40" t="s">
        <v>37</v>
      </c>
      <c r="D58" s="40">
        <v>3000.0</v>
      </c>
      <c r="E58" s="26" t="s">
        <v>223</v>
      </c>
      <c r="F58" s="26" t="s">
        <v>225</v>
      </c>
      <c r="G58" s="26">
        <v>3500.0</v>
      </c>
      <c r="H58" s="26" t="s">
        <v>36</v>
      </c>
      <c r="I58" s="26" t="s">
        <v>40</v>
      </c>
      <c r="J58" s="26">
        <v>0.0</v>
      </c>
      <c r="K58" s="26" t="s">
        <v>183</v>
      </c>
      <c r="L58" s="26" t="s">
        <v>208</v>
      </c>
      <c r="M58" s="26">
        <v>3500.0</v>
      </c>
      <c r="N58" s="26" t="s">
        <v>52</v>
      </c>
      <c r="O58" s="26"/>
      <c r="P58" s="26"/>
      <c r="Q58" s="26" t="s">
        <v>53</v>
      </c>
      <c r="R58" s="27"/>
      <c r="S58" s="27"/>
      <c r="T58" s="27"/>
      <c r="U58" s="27"/>
      <c r="V58" s="27"/>
      <c r="W58" s="27"/>
      <c r="X58" s="27"/>
      <c r="Y58" s="27"/>
      <c r="Z58" s="27"/>
      <c r="AA58" s="27"/>
      <c r="AB58" s="27"/>
      <c r="AC58" s="27"/>
      <c r="AD58" s="27"/>
      <c r="AE58" s="27"/>
      <c r="AF58" s="27"/>
      <c r="AG58" s="27"/>
      <c r="AH58" s="27"/>
      <c r="AI58" s="27"/>
      <c r="AJ58" s="32">
        <f t="shared" si="1"/>
        <v>10000</v>
      </c>
      <c r="AK58" s="25"/>
      <c r="AL58" s="25"/>
      <c r="AM58" s="25"/>
      <c r="AN58" s="25"/>
      <c r="AO58" s="25"/>
      <c r="AP58" s="25"/>
      <c r="AQ58" s="25"/>
    </row>
    <row r="59" ht="22.5" customHeight="1">
      <c r="A59" s="26" t="s">
        <v>162</v>
      </c>
      <c r="B59" s="26" t="s">
        <v>25</v>
      </c>
      <c r="C59" s="40" t="s">
        <v>37</v>
      </c>
      <c r="D59" s="40">
        <v>3000.0</v>
      </c>
      <c r="E59" s="26" t="s">
        <v>223</v>
      </c>
      <c r="F59" s="26" t="s">
        <v>225</v>
      </c>
      <c r="G59" s="26">
        <v>3500.0</v>
      </c>
      <c r="H59" s="26" t="s">
        <v>36</v>
      </c>
      <c r="I59" s="26" t="s">
        <v>40</v>
      </c>
      <c r="J59" s="26">
        <v>0.0</v>
      </c>
      <c r="K59" s="26" t="s">
        <v>183</v>
      </c>
      <c r="L59" s="26">
        <v>9.0</v>
      </c>
      <c r="M59" s="26">
        <v>3500.0</v>
      </c>
      <c r="N59" s="26" t="s">
        <v>216</v>
      </c>
      <c r="O59" s="26" t="s">
        <v>40</v>
      </c>
      <c r="P59" s="26"/>
      <c r="Q59" s="26" t="s">
        <v>217</v>
      </c>
      <c r="R59" s="26" t="s">
        <v>219</v>
      </c>
      <c r="S59" s="26"/>
      <c r="T59" s="26" t="s">
        <v>218</v>
      </c>
      <c r="U59" s="26"/>
      <c r="V59" s="26"/>
      <c r="W59" s="26" t="s">
        <v>53</v>
      </c>
      <c r="X59" s="27"/>
      <c r="Y59" s="27"/>
      <c r="Z59" s="27"/>
      <c r="AA59" s="27"/>
      <c r="AB59" s="27"/>
      <c r="AC59" s="27"/>
      <c r="AD59" s="27"/>
      <c r="AE59" s="27"/>
      <c r="AF59" s="27"/>
      <c r="AG59" s="27"/>
      <c r="AH59" s="27"/>
      <c r="AI59" s="27"/>
      <c r="AJ59" s="32">
        <f t="shared" si="1"/>
        <v>10000</v>
      </c>
      <c r="AK59" s="25"/>
      <c r="AL59" s="25"/>
      <c r="AM59" s="25"/>
      <c r="AN59" s="25"/>
      <c r="AO59" s="25"/>
      <c r="AP59" s="25"/>
      <c r="AQ59" s="25"/>
    </row>
    <row r="60" ht="22.5" customHeight="1">
      <c r="A60" s="34" t="s">
        <v>270</v>
      </c>
      <c r="B60" s="34" t="s">
        <v>25</v>
      </c>
      <c r="C60" s="41" t="s">
        <v>37</v>
      </c>
      <c r="D60" s="41">
        <v>3000.0</v>
      </c>
      <c r="E60" s="34" t="s">
        <v>223</v>
      </c>
      <c r="F60" s="34" t="s">
        <v>225</v>
      </c>
      <c r="G60" s="34">
        <v>3500.0</v>
      </c>
      <c r="H60" s="34" t="s">
        <v>36</v>
      </c>
      <c r="I60" s="34" t="s">
        <v>37</v>
      </c>
      <c r="J60" s="34"/>
      <c r="K60" s="34" t="s">
        <v>60</v>
      </c>
      <c r="L60" s="34" t="s">
        <v>65</v>
      </c>
      <c r="M60" s="34"/>
      <c r="N60" s="34" t="s">
        <v>63</v>
      </c>
      <c r="O60" s="34" t="s">
        <v>40</v>
      </c>
      <c r="P60" s="34"/>
      <c r="Q60" s="34" t="s">
        <v>388</v>
      </c>
      <c r="R60" s="34" t="s">
        <v>389</v>
      </c>
      <c r="S60" s="34"/>
      <c r="T60" s="34" t="s">
        <v>390</v>
      </c>
      <c r="U60" s="34" t="s">
        <v>40</v>
      </c>
      <c r="V60" s="34"/>
      <c r="W60" s="34" t="s">
        <v>391</v>
      </c>
      <c r="X60" s="34" t="s">
        <v>129</v>
      </c>
      <c r="Y60" s="34"/>
      <c r="Z60" s="34" t="s">
        <v>127</v>
      </c>
      <c r="AA60" s="35"/>
      <c r="AB60" s="35"/>
      <c r="AC60" s="34" t="s">
        <v>53</v>
      </c>
      <c r="AD60" s="34"/>
      <c r="AE60" s="34"/>
      <c r="AF60" s="34"/>
      <c r="AG60" s="35"/>
      <c r="AH60" s="35"/>
      <c r="AI60" s="35"/>
      <c r="AJ60" s="32">
        <f t="shared" si="1"/>
        <v>6500</v>
      </c>
      <c r="AK60" s="36"/>
      <c r="AL60" s="36"/>
      <c r="AM60" s="36"/>
      <c r="AN60" s="36"/>
      <c r="AO60" s="36"/>
      <c r="AP60" s="36"/>
      <c r="AQ60" s="36"/>
    </row>
    <row r="61" ht="22.5" customHeight="1">
      <c r="A61" s="34" t="s">
        <v>272</v>
      </c>
      <c r="B61" s="34" t="s">
        <v>25</v>
      </c>
      <c r="C61" s="41" t="s">
        <v>37</v>
      </c>
      <c r="D61" s="41">
        <v>3000.0</v>
      </c>
      <c r="E61" s="34" t="s">
        <v>223</v>
      </c>
      <c r="F61" s="34" t="s">
        <v>225</v>
      </c>
      <c r="G61" s="34">
        <v>3500.0</v>
      </c>
      <c r="H61" s="34" t="s">
        <v>36</v>
      </c>
      <c r="I61" s="34" t="s">
        <v>37</v>
      </c>
      <c r="J61" s="34"/>
      <c r="K61" s="34" t="s">
        <v>60</v>
      </c>
      <c r="L61" s="34" t="s">
        <v>65</v>
      </c>
      <c r="M61" s="34"/>
      <c r="N61" s="34" t="s">
        <v>63</v>
      </c>
      <c r="O61" s="34" t="s">
        <v>40</v>
      </c>
      <c r="P61" s="34"/>
      <c r="Q61" s="34" t="s">
        <v>66</v>
      </c>
      <c r="R61" s="26" t="s">
        <v>71</v>
      </c>
      <c r="S61" s="26"/>
      <c r="T61" s="26" t="s">
        <v>69</v>
      </c>
      <c r="U61" s="26"/>
      <c r="V61" s="26"/>
      <c r="W61" s="26" t="s">
        <v>53</v>
      </c>
      <c r="X61" s="27"/>
      <c r="Y61" s="27"/>
      <c r="Z61" s="27"/>
      <c r="AA61" s="27"/>
      <c r="AB61" s="27"/>
      <c r="AC61" s="27"/>
      <c r="AD61" s="27"/>
      <c r="AE61" s="27"/>
      <c r="AF61" s="27"/>
      <c r="AG61" s="27"/>
      <c r="AH61" s="27"/>
      <c r="AI61" s="27"/>
      <c r="AJ61" s="32">
        <f t="shared" si="1"/>
        <v>6500</v>
      </c>
      <c r="AK61" s="25"/>
      <c r="AL61" s="25"/>
      <c r="AM61" s="25"/>
      <c r="AN61" s="25"/>
      <c r="AO61" s="25"/>
      <c r="AP61" s="25"/>
      <c r="AQ61" s="25"/>
    </row>
    <row r="62" ht="22.5" customHeight="1">
      <c r="A62" s="34" t="s">
        <v>274</v>
      </c>
      <c r="B62" s="34" t="s">
        <v>25</v>
      </c>
      <c r="C62" s="41" t="s">
        <v>37</v>
      </c>
      <c r="D62" s="41">
        <v>3000.0</v>
      </c>
      <c r="E62" s="34" t="s">
        <v>223</v>
      </c>
      <c r="F62" s="34" t="s">
        <v>225</v>
      </c>
      <c r="G62" s="34">
        <v>3500.0</v>
      </c>
      <c r="H62" s="34" t="s">
        <v>36</v>
      </c>
      <c r="I62" s="34" t="s">
        <v>37</v>
      </c>
      <c r="J62" s="34"/>
      <c r="K62" s="34" t="s">
        <v>60</v>
      </c>
      <c r="L62" s="34" t="s">
        <v>65</v>
      </c>
      <c r="M62" s="34"/>
      <c r="N62" s="34" t="s">
        <v>63</v>
      </c>
      <c r="O62" s="34" t="s">
        <v>40</v>
      </c>
      <c r="P62" s="34"/>
      <c r="Q62" s="34" t="s">
        <v>79</v>
      </c>
      <c r="R62" s="26">
        <v>1.0</v>
      </c>
      <c r="S62" s="26"/>
      <c r="T62" s="26" t="s">
        <v>215</v>
      </c>
      <c r="U62" s="26">
        <v>1.0</v>
      </c>
      <c r="V62" s="26"/>
      <c r="W62" s="26" t="s">
        <v>53</v>
      </c>
      <c r="X62" s="27"/>
      <c r="Y62" s="27"/>
      <c r="Z62" s="26" t="s">
        <v>53</v>
      </c>
      <c r="AA62" s="27"/>
      <c r="AB62" s="27"/>
      <c r="AC62" s="27"/>
      <c r="AD62" s="27"/>
      <c r="AE62" s="27"/>
      <c r="AF62" s="27"/>
      <c r="AG62" s="27"/>
      <c r="AH62" s="27"/>
      <c r="AI62" s="27"/>
      <c r="AJ62" s="32">
        <f t="shared" si="1"/>
        <v>6500</v>
      </c>
      <c r="AK62" s="25"/>
      <c r="AL62" s="25"/>
      <c r="AM62" s="25"/>
      <c r="AN62" s="25"/>
      <c r="AO62" s="25"/>
      <c r="AP62" s="25"/>
      <c r="AQ62" s="25"/>
    </row>
    <row r="63" ht="22.5" customHeight="1">
      <c r="A63" s="34" t="s">
        <v>276</v>
      </c>
      <c r="B63" s="34" t="s">
        <v>25</v>
      </c>
      <c r="C63" s="41" t="s">
        <v>37</v>
      </c>
      <c r="D63" s="41">
        <v>3000.0</v>
      </c>
      <c r="E63" s="34" t="s">
        <v>223</v>
      </c>
      <c r="F63" s="34" t="s">
        <v>225</v>
      </c>
      <c r="G63" s="34">
        <v>3500.0</v>
      </c>
      <c r="H63" s="34" t="s">
        <v>36</v>
      </c>
      <c r="I63" s="34" t="s">
        <v>37</v>
      </c>
      <c r="J63" s="34"/>
      <c r="K63" s="34" t="s">
        <v>60</v>
      </c>
      <c r="L63" s="34" t="s">
        <v>65</v>
      </c>
      <c r="M63" s="34"/>
      <c r="N63" s="34" t="s">
        <v>63</v>
      </c>
      <c r="O63" s="34" t="s">
        <v>40</v>
      </c>
      <c r="P63" s="34"/>
      <c r="Q63" s="34" t="s">
        <v>79</v>
      </c>
      <c r="R63" s="26">
        <v>1.0</v>
      </c>
      <c r="S63" s="26"/>
      <c r="T63" s="26" t="s">
        <v>53</v>
      </c>
      <c r="U63" s="27"/>
      <c r="V63" s="27"/>
      <c r="W63" s="26" t="s">
        <v>53</v>
      </c>
      <c r="X63" s="27"/>
      <c r="Y63" s="27"/>
      <c r="Z63" s="27"/>
      <c r="AA63" s="27"/>
      <c r="AB63" s="27"/>
      <c r="AC63" s="27"/>
      <c r="AD63" s="27"/>
      <c r="AE63" s="27"/>
      <c r="AF63" s="27"/>
      <c r="AG63" s="27"/>
      <c r="AH63" s="27"/>
      <c r="AI63" s="27"/>
      <c r="AJ63" s="32">
        <f t="shared" si="1"/>
        <v>6500</v>
      </c>
      <c r="AK63" s="25"/>
      <c r="AL63" s="25"/>
      <c r="AM63" s="25"/>
      <c r="AN63" s="25"/>
      <c r="AO63" s="25"/>
      <c r="AP63" s="25"/>
      <c r="AQ63" s="25"/>
    </row>
    <row r="64" ht="22.5" customHeight="1">
      <c r="A64" s="34" t="s">
        <v>278</v>
      </c>
      <c r="B64" s="34" t="s">
        <v>25</v>
      </c>
      <c r="C64" s="41" t="s">
        <v>37</v>
      </c>
      <c r="D64" s="41">
        <v>3000.0</v>
      </c>
      <c r="E64" s="34" t="s">
        <v>223</v>
      </c>
      <c r="F64" s="34" t="s">
        <v>225</v>
      </c>
      <c r="G64" s="34">
        <v>3500.0</v>
      </c>
      <c r="H64" s="34" t="s">
        <v>36</v>
      </c>
      <c r="I64" s="34" t="s">
        <v>37</v>
      </c>
      <c r="J64" s="34"/>
      <c r="K64" s="34" t="s">
        <v>60</v>
      </c>
      <c r="L64" s="34">
        <v>4.0</v>
      </c>
      <c r="M64" s="34"/>
      <c r="N64" s="34" t="s">
        <v>87</v>
      </c>
      <c r="O64" s="34" t="s">
        <v>40</v>
      </c>
      <c r="P64" s="34"/>
      <c r="Q64" s="34" t="s">
        <v>79</v>
      </c>
      <c r="R64" s="26">
        <v>1.0</v>
      </c>
      <c r="S64" s="26"/>
      <c r="T64" s="26" t="s">
        <v>215</v>
      </c>
      <c r="U64" s="26">
        <v>1.0</v>
      </c>
      <c r="V64" s="26"/>
      <c r="W64" s="26" t="s">
        <v>53</v>
      </c>
      <c r="X64" s="27"/>
      <c r="Y64" s="27"/>
      <c r="Z64" s="26" t="s">
        <v>53</v>
      </c>
      <c r="AA64" s="27"/>
      <c r="AB64" s="27"/>
      <c r="AC64" s="27"/>
      <c r="AD64" s="27"/>
      <c r="AE64" s="27"/>
      <c r="AF64" s="27"/>
      <c r="AG64" s="27"/>
      <c r="AH64" s="27"/>
      <c r="AI64" s="27"/>
      <c r="AJ64" s="32">
        <f t="shared" si="1"/>
        <v>6500</v>
      </c>
      <c r="AK64" s="25"/>
      <c r="AL64" s="25"/>
      <c r="AM64" s="25"/>
      <c r="AN64" s="25"/>
      <c r="AO64" s="25"/>
      <c r="AP64" s="25"/>
      <c r="AQ64" s="25"/>
    </row>
    <row r="65" ht="22.5" customHeight="1">
      <c r="A65" s="34" t="s">
        <v>280</v>
      </c>
      <c r="B65" s="34" t="s">
        <v>25</v>
      </c>
      <c r="C65" s="41" t="s">
        <v>37</v>
      </c>
      <c r="D65" s="41">
        <v>3000.0</v>
      </c>
      <c r="E65" s="34" t="s">
        <v>223</v>
      </c>
      <c r="F65" s="34" t="s">
        <v>225</v>
      </c>
      <c r="G65" s="34">
        <v>3500.0</v>
      </c>
      <c r="H65" s="34" t="s">
        <v>36</v>
      </c>
      <c r="I65" s="34" t="s">
        <v>37</v>
      </c>
      <c r="J65" s="34"/>
      <c r="K65" s="34" t="s">
        <v>60</v>
      </c>
      <c r="L65" s="34">
        <v>4.0</v>
      </c>
      <c r="M65" s="34"/>
      <c r="N65" s="34" t="s">
        <v>87</v>
      </c>
      <c r="O65" s="34" t="s">
        <v>40</v>
      </c>
      <c r="P65" s="34"/>
      <c r="Q65" s="34" t="s">
        <v>79</v>
      </c>
      <c r="R65" s="26">
        <v>1.0</v>
      </c>
      <c r="S65" s="26"/>
      <c r="T65" s="26" t="s">
        <v>53</v>
      </c>
      <c r="U65" s="27"/>
      <c r="V65" s="27"/>
      <c r="W65" s="26" t="s">
        <v>53</v>
      </c>
      <c r="X65" s="27"/>
      <c r="Y65" s="27"/>
      <c r="Z65" s="27"/>
      <c r="AA65" s="27"/>
      <c r="AB65" s="27"/>
      <c r="AC65" s="27"/>
      <c r="AD65" s="27"/>
      <c r="AE65" s="27"/>
      <c r="AF65" s="27"/>
      <c r="AG65" s="27"/>
      <c r="AH65" s="27"/>
      <c r="AI65" s="27"/>
      <c r="AJ65" s="32">
        <f t="shared" si="1"/>
        <v>6500</v>
      </c>
      <c r="AK65" s="25"/>
      <c r="AL65" s="25"/>
      <c r="AM65" s="25"/>
      <c r="AN65" s="25"/>
      <c r="AO65" s="25"/>
      <c r="AP65" s="25"/>
      <c r="AQ65" s="25"/>
    </row>
    <row r="66" ht="22.5" customHeight="1">
      <c r="A66" s="26" t="s">
        <v>167</v>
      </c>
      <c r="B66" s="26" t="s">
        <v>25</v>
      </c>
      <c r="C66" s="40" t="s">
        <v>37</v>
      </c>
      <c r="D66" s="40">
        <v>3000.0</v>
      </c>
      <c r="E66" s="26" t="s">
        <v>223</v>
      </c>
      <c r="F66" s="26" t="s">
        <v>225</v>
      </c>
      <c r="G66" s="26">
        <v>3500.0</v>
      </c>
      <c r="H66" s="26" t="s">
        <v>224</v>
      </c>
      <c r="I66" s="26" t="s">
        <v>40</v>
      </c>
      <c r="J66" s="26">
        <v>0.0</v>
      </c>
      <c r="K66" s="55" t="s">
        <v>228</v>
      </c>
      <c r="L66" s="26">
        <v>9.0</v>
      </c>
      <c r="M66" s="26">
        <v>3500.0</v>
      </c>
      <c r="N66" s="26" t="s">
        <v>36</v>
      </c>
      <c r="O66" s="26" t="s">
        <v>40</v>
      </c>
      <c r="P66" s="26">
        <v>0.0</v>
      </c>
      <c r="Q66" s="26" t="s">
        <v>39</v>
      </c>
      <c r="R66" s="26" t="s">
        <v>44</v>
      </c>
      <c r="S66" s="26">
        <v>5700.0</v>
      </c>
      <c r="T66" s="26" t="s">
        <v>221</v>
      </c>
      <c r="U66" s="27"/>
      <c r="V66" s="27"/>
      <c r="W66" s="26" t="s">
        <v>53</v>
      </c>
      <c r="X66" s="27"/>
      <c r="Y66" s="27"/>
      <c r="Z66" s="27"/>
      <c r="AA66" s="27"/>
      <c r="AB66" s="27"/>
      <c r="AC66" s="27"/>
      <c r="AD66" s="27"/>
      <c r="AE66" s="27"/>
      <c r="AF66" s="27"/>
      <c r="AG66" s="27"/>
      <c r="AH66" s="27"/>
      <c r="AI66" s="27"/>
      <c r="AJ66" s="32">
        <f t="shared" si="1"/>
        <v>15700</v>
      </c>
      <c r="AK66" s="25"/>
      <c r="AL66" s="25"/>
      <c r="AM66" s="25"/>
      <c r="AN66" s="25"/>
      <c r="AO66" s="25"/>
      <c r="AP66" s="25"/>
      <c r="AQ66" s="25"/>
    </row>
    <row r="67" ht="22.5" customHeight="1">
      <c r="A67" s="34" t="s">
        <v>169</v>
      </c>
      <c r="B67" s="34" t="s">
        <v>25</v>
      </c>
      <c r="C67" s="41" t="s">
        <v>37</v>
      </c>
      <c r="D67" s="41">
        <v>3000.0</v>
      </c>
      <c r="E67" s="34" t="s">
        <v>223</v>
      </c>
      <c r="F67" s="34" t="s">
        <v>225</v>
      </c>
      <c r="G67" s="34">
        <v>3500.0</v>
      </c>
      <c r="H67" s="34" t="s">
        <v>224</v>
      </c>
      <c r="I67" s="34" t="s">
        <v>40</v>
      </c>
      <c r="J67" s="34">
        <v>0.0</v>
      </c>
      <c r="K67" s="56" t="s">
        <v>228</v>
      </c>
      <c r="L67" s="34">
        <v>9.0</v>
      </c>
      <c r="M67" s="34">
        <v>3500.0</v>
      </c>
      <c r="N67" s="34" t="s">
        <v>36</v>
      </c>
      <c r="O67" s="34" t="s">
        <v>40</v>
      </c>
      <c r="P67" s="34">
        <v>0.0</v>
      </c>
      <c r="Q67" s="34" t="s">
        <v>39</v>
      </c>
      <c r="R67" s="34" t="s">
        <v>44</v>
      </c>
      <c r="S67" s="34">
        <v>5700.0</v>
      </c>
      <c r="T67" s="34" t="s">
        <v>221</v>
      </c>
      <c r="U67" s="34" t="s">
        <v>40</v>
      </c>
      <c r="V67" s="34">
        <v>0.0</v>
      </c>
      <c r="W67" s="34" t="s">
        <v>186</v>
      </c>
      <c r="X67" s="34" t="s">
        <v>204</v>
      </c>
      <c r="Y67" s="34">
        <v>3500.0</v>
      </c>
      <c r="Z67" s="34" t="s">
        <v>203</v>
      </c>
      <c r="AA67" s="34" t="s">
        <v>40</v>
      </c>
      <c r="AB67" s="34">
        <v>0.0</v>
      </c>
      <c r="AC67" s="34" t="s">
        <v>202</v>
      </c>
      <c r="AD67" s="34" t="s">
        <v>209</v>
      </c>
      <c r="AE67" s="34">
        <v>0.0</v>
      </c>
      <c r="AF67" s="34" t="s">
        <v>52</v>
      </c>
      <c r="AG67" s="35"/>
      <c r="AH67" s="35"/>
      <c r="AI67" s="34" t="s">
        <v>53</v>
      </c>
      <c r="AJ67" s="35">
        <f t="shared" si="1"/>
        <v>19200</v>
      </c>
      <c r="AK67" s="36"/>
      <c r="AL67" s="36"/>
      <c r="AM67" s="36"/>
      <c r="AN67" s="36"/>
      <c r="AO67" s="36"/>
      <c r="AP67" s="36"/>
      <c r="AQ67" s="36"/>
    </row>
    <row r="68" ht="22.5" customHeight="1">
      <c r="A68" s="26" t="s">
        <v>171</v>
      </c>
      <c r="B68" s="26" t="s">
        <v>25</v>
      </c>
      <c r="C68" s="40" t="s">
        <v>37</v>
      </c>
      <c r="D68" s="40">
        <v>3000.0</v>
      </c>
      <c r="E68" s="26" t="s">
        <v>285</v>
      </c>
      <c r="F68" s="26" t="s">
        <v>40</v>
      </c>
      <c r="G68" s="26">
        <v>0.0</v>
      </c>
      <c r="H68" s="26" t="s">
        <v>286</v>
      </c>
      <c r="I68" s="26" t="s">
        <v>204</v>
      </c>
      <c r="J68" s="26">
        <v>3500.0</v>
      </c>
      <c r="K68" s="55" t="s">
        <v>216</v>
      </c>
      <c r="L68" s="26">
        <v>9.0</v>
      </c>
      <c r="M68" s="26">
        <v>0.0</v>
      </c>
      <c r="N68" s="26" t="s">
        <v>213</v>
      </c>
      <c r="O68" s="26" t="s">
        <v>40</v>
      </c>
      <c r="P68" s="26">
        <v>0.0</v>
      </c>
      <c r="Q68" s="26" t="s">
        <v>214</v>
      </c>
      <c r="R68" s="26" t="s">
        <v>71</v>
      </c>
      <c r="S68" s="26">
        <v>7000.0</v>
      </c>
      <c r="T68" s="26" t="s">
        <v>69</v>
      </c>
      <c r="U68" s="26" t="s">
        <v>40</v>
      </c>
      <c r="V68" s="26">
        <v>0.0</v>
      </c>
      <c r="W68" s="26" t="s">
        <v>53</v>
      </c>
      <c r="X68" s="26"/>
      <c r="Y68" s="26"/>
      <c r="Z68" s="26"/>
      <c r="AA68" s="26"/>
      <c r="AB68" s="26"/>
      <c r="AC68" s="26"/>
      <c r="AD68" s="26"/>
      <c r="AE68" s="26"/>
      <c r="AF68" s="26"/>
      <c r="AG68" s="27"/>
      <c r="AH68" s="27"/>
      <c r="AI68" s="26"/>
      <c r="AJ68" s="27">
        <f t="shared" si="1"/>
        <v>13500</v>
      </c>
      <c r="AK68" s="25"/>
      <c r="AL68" s="25"/>
      <c r="AM68" s="25"/>
      <c r="AN68" s="25"/>
      <c r="AO68" s="25"/>
      <c r="AP68" s="25"/>
      <c r="AQ68" s="25"/>
    </row>
    <row r="69" ht="22.5" customHeight="1">
      <c r="A69" s="26" t="s">
        <v>174</v>
      </c>
      <c r="B69" s="26" t="s">
        <v>25</v>
      </c>
      <c r="C69" s="40" t="s">
        <v>37</v>
      </c>
      <c r="D69" s="40">
        <v>3000.0</v>
      </c>
      <c r="E69" s="26" t="s">
        <v>223</v>
      </c>
      <c r="F69" s="26" t="s">
        <v>225</v>
      </c>
      <c r="G69" s="26">
        <v>3500.0</v>
      </c>
      <c r="H69" s="26" t="s">
        <v>224</v>
      </c>
      <c r="I69" s="26" t="s">
        <v>40</v>
      </c>
      <c r="J69" s="26">
        <v>0.0</v>
      </c>
      <c r="K69" s="55" t="s">
        <v>228</v>
      </c>
      <c r="L69" s="26">
        <v>9.0</v>
      </c>
      <c r="M69" s="26">
        <v>3500.0</v>
      </c>
      <c r="N69" s="26" t="s">
        <v>36</v>
      </c>
      <c r="O69" s="26" t="s">
        <v>40</v>
      </c>
      <c r="P69" s="26">
        <v>0.0</v>
      </c>
      <c r="Q69" s="26" t="s">
        <v>39</v>
      </c>
      <c r="R69" s="26" t="s">
        <v>44</v>
      </c>
      <c r="S69" s="26">
        <v>5700.0</v>
      </c>
      <c r="T69" s="26" t="s">
        <v>221</v>
      </c>
      <c r="U69" s="26" t="s">
        <v>40</v>
      </c>
      <c r="V69" s="26">
        <v>0.0</v>
      </c>
      <c r="W69" s="26" t="s">
        <v>186</v>
      </c>
      <c r="X69" s="26" t="s">
        <v>208</v>
      </c>
      <c r="Y69" s="26">
        <v>3500.0</v>
      </c>
      <c r="Z69" s="26" t="s">
        <v>52</v>
      </c>
      <c r="AA69" s="26" t="s">
        <v>40</v>
      </c>
      <c r="AB69" s="26">
        <v>0.0</v>
      </c>
      <c r="AC69" s="26" t="s">
        <v>53</v>
      </c>
      <c r="AD69" s="27"/>
      <c r="AE69" s="27"/>
      <c r="AF69" s="27"/>
      <c r="AG69" s="27"/>
      <c r="AH69" s="27"/>
      <c r="AI69" s="27"/>
      <c r="AJ69" s="32">
        <f t="shared" si="1"/>
        <v>19200</v>
      </c>
      <c r="AK69" s="25"/>
      <c r="AL69" s="25"/>
      <c r="AM69" s="25"/>
      <c r="AN69" s="25"/>
      <c r="AO69" s="25"/>
      <c r="AP69" s="25"/>
      <c r="AQ69" s="25"/>
    </row>
    <row r="70" ht="22.5" customHeight="1">
      <c r="A70" s="26" t="s">
        <v>177</v>
      </c>
      <c r="B70" s="26" t="s">
        <v>25</v>
      </c>
      <c r="C70" s="40" t="s">
        <v>37</v>
      </c>
      <c r="D70" s="40">
        <v>3000.0</v>
      </c>
      <c r="E70" s="26" t="s">
        <v>223</v>
      </c>
      <c r="F70" s="26" t="s">
        <v>225</v>
      </c>
      <c r="G70" s="26">
        <v>3500.0</v>
      </c>
      <c r="H70" s="26" t="s">
        <v>224</v>
      </c>
      <c r="I70" s="26" t="s">
        <v>40</v>
      </c>
      <c r="J70" s="26">
        <v>0.0</v>
      </c>
      <c r="K70" s="55" t="s">
        <v>228</v>
      </c>
      <c r="L70" s="26">
        <v>9.0</v>
      </c>
      <c r="M70" s="26">
        <v>3500.0</v>
      </c>
      <c r="N70" s="26" t="s">
        <v>36</v>
      </c>
      <c r="O70" s="26" t="s">
        <v>40</v>
      </c>
      <c r="P70" s="26">
        <v>0.0</v>
      </c>
      <c r="Q70" s="26" t="s">
        <v>39</v>
      </c>
      <c r="R70" s="26" t="s">
        <v>44</v>
      </c>
      <c r="S70" s="26">
        <v>5700.0</v>
      </c>
      <c r="T70" s="26" t="s">
        <v>221</v>
      </c>
      <c r="U70" s="26" t="s">
        <v>40</v>
      </c>
      <c r="V70" s="26">
        <v>0.0</v>
      </c>
      <c r="W70" s="26" t="s">
        <v>186</v>
      </c>
      <c r="X70" s="26">
        <v>9.0</v>
      </c>
      <c r="Y70" s="26">
        <v>3500.0</v>
      </c>
      <c r="Z70" s="26" t="s">
        <v>199</v>
      </c>
      <c r="AA70" s="26" t="s">
        <v>40</v>
      </c>
      <c r="AB70" s="26">
        <v>0.0</v>
      </c>
      <c r="AC70" s="26" t="s">
        <v>202</v>
      </c>
      <c r="AD70" s="26" t="s">
        <v>209</v>
      </c>
      <c r="AE70" s="26">
        <v>0.0</v>
      </c>
      <c r="AF70" s="26" t="s">
        <v>52</v>
      </c>
      <c r="AG70" s="27"/>
      <c r="AH70" s="27"/>
      <c r="AI70" s="26" t="s">
        <v>53</v>
      </c>
      <c r="AJ70" s="32">
        <f t="shared" si="1"/>
        <v>19200</v>
      </c>
      <c r="AK70" s="25"/>
      <c r="AL70" s="25"/>
      <c r="AM70" s="25"/>
      <c r="AN70" s="25"/>
      <c r="AO70" s="25"/>
      <c r="AP70" s="25"/>
      <c r="AQ70" s="25"/>
    </row>
    <row r="71" ht="22.5" customHeight="1">
      <c r="A71" s="26" t="s">
        <v>179</v>
      </c>
      <c r="B71" s="26" t="s">
        <v>25</v>
      </c>
      <c r="C71" s="40" t="s">
        <v>37</v>
      </c>
      <c r="D71" s="40">
        <v>3000.0</v>
      </c>
      <c r="E71" s="26" t="s">
        <v>223</v>
      </c>
      <c r="F71" s="26" t="s">
        <v>225</v>
      </c>
      <c r="G71" s="26">
        <v>3500.0</v>
      </c>
      <c r="H71" s="26" t="s">
        <v>224</v>
      </c>
      <c r="I71" s="26" t="s">
        <v>40</v>
      </c>
      <c r="J71" s="26">
        <v>0.0</v>
      </c>
      <c r="K71" s="55" t="s">
        <v>228</v>
      </c>
      <c r="L71" s="26">
        <v>9.0</v>
      </c>
      <c r="M71" s="26">
        <v>3500.0</v>
      </c>
      <c r="N71" s="26" t="s">
        <v>36</v>
      </c>
      <c r="O71" s="26" t="s">
        <v>40</v>
      </c>
      <c r="P71" s="26">
        <v>0.0</v>
      </c>
      <c r="Q71" s="26" t="s">
        <v>39</v>
      </c>
      <c r="R71" s="26" t="s">
        <v>44</v>
      </c>
      <c r="S71" s="26">
        <v>5700.0</v>
      </c>
      <c r="T71" s="26" t="s">
        <v>221</v>
      </c>
      <c r="U71" s="26" t="s">
        <v>40</v>
      </c>
      <c r="V71" s="26">
        <v>0.0</v>
      </c>
      <c r="W71" s="26" t="s">
        <v>186</v>
      </c>
      <c r="X71" s="26">
        <v>9.0</v>
      </c>
      <c r="Y71" s="26">
        <v>3500.0</v>
      </c>
      <c r="Z71" s="26" t="s">
        <v>199</v>
      </c>
      <c r="AA71" s="26" t="s">
        <v>40</v>
      </c>
      <c r="AB71" s="26">
        <v>0.0</v>
      </c>
      <c r="AC71" s="26" t="s">
        <v>202</v>
      </c>
      <c r="AD71" s="26" t="s">
        <v>207</v>
      </c>
      <c r="AE71" s="26">
        <v>0.0</v>
      </c>
      <c r="AF71" s="26" t="s">
        <v>115</v>
      </c>
      <c r="AG71" s="27"/>
      <c r="AH71" s="27"/>
      <c r="AI71" s="26" t="s">
        <v>53</v>
      </c>
      <c r="AJ71" s="32">
        <f t="shared" si="1"/>
        <v>19200</v>
      </c>
      <c r="AK71" s="25"/>
      <c r="AL71" s="25"/>
      <c r="AM71" s="25"/>
      <c r="AN71" s="25"/>
      <c r="AO71" s="25"/>
      <c r="AP71" s="25"/>
      <c r="AQ71" s="25"/>
    </row>
    <row r="72" ht="22.5" customHeight="1">
      <c r="A72" s="26" t="s">
        <v>181</v>
      </c>
      <c r="B72" s="26" t="s">
        <v>25</v>
      </c>
      <c r="C72" s="40" t="s">
        <v>37</v>
      </c>
      <c r="D72" s="40">
        <v>3000.0</v>
      </c>
      <c r="E72" s="26" t="s">
        <v>223</v>
      </c>
      <c r="F72" s="26" t="s">
        <v>225</v>
      </c>
      <c r="G72" s="26">
        <v>3500.0</v>
      </c>
      <c r="H72" s="26" t="s">
        <v>224</v>
      </c>
      <c r="I72" s="26" t="s">
        <v>40</v>
      </c>
      <c r="J72" s="26">
        <v>0.0</v>
      </c>
      <c r="K72" s="55" t="s">
        <v>228</v>
      </c>
      <c r="L72" s="26">
        <v>9.0</v>
      </c>
      <c r="M72" s="26">
        <v>3500.0</v>
      </c>
      <c r="N72" s="26" t="s">
        <v>36</v>
      </c>
      <c r="O72" s="26" t="s">
        <v>40</v>
      </c>
      <c r="P72" s="26">
        <v>0.0</v>
      </c>
      <c r="Q72" s="26" t="s">
        <v>39</v>
      </c>
      <c r="R72" s="26" t="s">
        <v>44</v>
      </c>
      <c r="S72" s="26">
        <v>5700.0</v>
      </c>
      <c r="T72" s="26" t="s">
        <v>221</v>
      </c>
      <c r="U72" s="26" t="s">
        <v>40</v>
      </c>
      <c r="V72" s="26">
        <v>0.0</v>
      </c>
      <c r="W72" s="26" t="s">
        <v>186</v>
      </c>
      <c r="X72" s="26" t="s">
        <v>211</v>
      </c>
      <c r="Y72" s="26">
        <v>3500.0</v>
      </c>
      <c r="Z72" s="26" t="s">
        <v>210</v>
      </c>
      <c r="AA72" s="26">
        <v>1.0</v>
      </c>
      <c r="AB72" s="26">
        <v>0.0</v>
      </c>
      <c r="AC72" s="26" t="s">
        <v>53</v>
      </c>
      <c r="AD72" s="27"/>
      <c r="AE72" s="27"/>
      <c r="AF72" s="26" t="s">
        <v>53</v>
      </c>
      <c r="AG72" s="27"/>
      <c r="AH72" s="27"/>
      <c r="AI72" s="27"/>
      <c r="AJ72" s="32">
        <f t="shared" si="1"/>
        <v>19200</v>
      </c>
      <c r="AK72" s="25"/>
      <c r="AL72" s="25"/>
      <c r="AM72" s="25"/>
      <c r="AN72" s="25"/>
      <c r="AO72" s="25"/>
      <c r="AP72" s="25"/>
      <c r="AQ72" s="25"/>
    </row>
    <row r="73" ht="22.5" customHeight="1">
      <c r="A73" s="26" t="s">
        <v>184</v>
      </c>
      <c r="B73" s="26" t="s">
        <v>25</v>
      </c>
      <c r="C73" s="26" t="s">
        <v>425</v>
      </c>
      <c r="D73" s="26">
        <v>3500.0</v>
      </c>
      <c r="E73" s="26" t="s">
        <v>285</v>
      </c>
      <c r="F73" s="26" t="s">
        <v>311</v>
      </c>
      <c r="G73" s="26">
        <v>3500.0</v>
      </c>
      <c r="H73" s="26" t="s">
        <v>400</v>
      </c>
      <c r="I73" s="26" t="s">
        <v>398</v>
      </c>
      <c r="J73" s="26">
        <v>3000.0</v>
      </c>
      <c r="K73" s="26" t="s">
        <v>53</v>
      </c>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32">
        <f t="shared" si="1"/>
        <v>10000</v>
      </c>
      <c r="AK73" s="25"/>
      <c r="AL73" s="25"/>
      <c r="AM73" s="25"/>
      <c r="AN73" s="25"/>
      <c r="AO73" s="25"/>
      <c r="AP73" s="25"/>
      <c r="AQ73" s="25"/>
    </row>
    <row r="74" ht="22.5" customHeight="1">
      <c r="A74" s="26" t="s">
        <v>187</v>
      </c>
      <c r="B74" s="26" t="s">
        <v>25</v>
      </c>
      <c r="C74" s="26" t="s">
        <v>27</v>
      </c>
      <c r="D74" s="26">
        <v>0.0</v>
      </c>
      <c r="E74" s="26" t="s">
        <v>26</v>
      </c>
      <c r="F74" s="26" t="s">
        <v>37</v>
      </c>
      <c r="G74" s="26">
        <v>3000.0</v>
      </c>
      <c r="H74" s="26" t="s">
        <v>285</v>
      </c>
      <c r="I74" s="26" t="s">
        <v>311</v>
      </c>
      <c r="J74" s="26">
        <v>3500.0</v>
      </c>
      <c r="K74" s="26" t="s">
        <v>400</v>
      </c>
      <c r="L74" s="26" t="s">
        <v>398</v>
      </c>
      <c r="M74" s="26">
        <v>3000.0</v>
      </c>
      <c r="N74" s="26" t="s">
        <v>53</v>
      </c>
      <c r="O74" s="27"/>
      <c r="P74" s="27"/>
      <c r="Q74" s="27"/>
      <c r="R74" s="27"/>
      <c r="S74" s="27"/>
      <c r="T74" s="27"/>
      <c r="U74" s="27"/>
      <c r="V74" s="27"/>
      <c r="W74" s="27"/>
      <c r="X74" s="27"/>
      <c r="Y74" s="27"/>
      <c r="Z74" s="27"/>
      <c r="AA74" s="27"/>
      <c r="AB74" s="27"/>
      <c r="AC74" s="27"/>
      <c r="AD74" s="27"/>
      <c r="AE74" s="27"/>
      <c r="AF74" s="27"/>
      <c r="AG74" s="27"/>
      <c r="AH74" s="27"/>
      <c r="AI74" s="27"/>
      <c r="AJ74" s="32">
        <f t="shared" si="1"/>
        <v>9500</v>
      </c>
      <c r="AK74" s="25"/>
      <c r="AL74" s="25"/>
      <c r="AM74" s="25"/>
      <c r="AN74" s="25"/>
      <c r="AO74" s="25"/>
      <c r="AP74" s="25"/>
      <c r="AQ74" s="25"/>
    </row>
    <row r="75" ht="22.5" customHeight="1">
      <c r="A75" s="26" t="s">
        <v>191</v>
      </c>
      <c r="B75" s="26" t="s">
        <v>25</v>
      </c>
      <c r="C75" s="26" t="s">
        <v>27</v>
      </c>
      <c r="D75" s="26">
        <v>0.0</v>
      </c>
      <c r="E75" s="26" t="s">
        <v>26</v>
      </c>
      <c r="F75" s="26" t="s">
        <v>37</v>
      </c>
      <c r="G75" s="26">
        <v>3000.0</v>
      </c>
      <c r="H75" s="26" t="s">
        <v>321</v>
      </c>
      <c r="I75" s="26" t="s">
        <v>323</v>
      </c>
      <c r="J75" s="26">
        <v>3500.0</v>
      </c>
      <c r="K75" s="26" t="s">
        <v>53</v>
      </c>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32">
        <f t="shared" si="1"/>
        <v>6500</v>
      </c>
      <c r="AK75" s="25"/>
      <c r="AL75" s="25"/>
      <c r="AM75" s="25"/>
      <c r="AN75" s="25"/>
      <c r="AO75" s="25"/>
      <c r="AP75" s="25"/>
      <c r="AQ75" s="25"/>
    </row>
    <row r="76" ht="22.5" customHeight="1">
      <c r="A76" s="26" t="s">
        <v>193</v>
      </c>
      <c r="B76" s="26" t="s">
        <v>25</v>
      </c>
      <c r="C76" s="26" t="s">
        <v>27</v>
      </c>
      <c r="D76" s="26">
        <v>0.0</v>
      </c>
      <c r="E76" s="26" t="s">
        <v>26</v>
      </c>
      <c r="F76" s="26" t="s">
        <v>37</v>
      </c>
      <c r="G76" s="26">
        <v>3000.0</v>
      </c>
      <c r="H76" s="26" t="s">
        <v>36</v>
      </c>
      <c r="I76" s="26" t="s">
        <v>40</v>
      </c>
      <c r="J76" s="26">
        <v>0.0</v>
      </c>
      <c r="K76" s="26" t="s">
        <v>39</v>
      </c>
      <c r="L76" s="26" t="s">
        <v>44</v>
      </c>
      <c r="M76" s="26">
        <v>9900.0</v>
      </c>
      <c r="N76" s="26" t="s">
        <v>79</v>
      </c>
      <c r="O76" s="26" t="s">
        <v>40</v>
      </c>
      <c r="P76" s="26">
        <v>0.0</v>
      </c>
      <c r="Q76" s="26" t="s">
        <v>79</v>
      </c>
      <c r="R76" s="26" t="s">
        <v>398</v>
      </c>
      <c r="S76" s="26">
        <v>7000.0</v>
      </c>
      <c r="T76" s="26" t="s">
        <v>53</v>
      </c>
      <c r="U76" s="27"/>
      <c r="V76" s="27"/>
      <c r="W76" s="26" t="s">
        <v>53</v>
      </c>
      <c r="X76" s="27"/>
      <c r="Y76" s="27"/>
      <c r="Z76" s="27"/>
      <c r="AA76" s="27"/>
      <c r="AB76" s="27"/>
      <c r="AC76" s="27"/>
      <c r="AD76" s="27"/>
      <c r="AE76" s="27"/>
      <c r="AF76" s="27"/>
      <c r="AG76" s="27"/>
      <c r="AH76" s="27"/>
      <c r="AI76" s="27"/>
      <c r="AJ76" s="32">
        <f t="shared" si="1"/>
        <v>19900</v>
      </c>
      <c r="AK76" s="25"/>
      <c r="AL76" s="25"/>
      <c r="AM76" s="25"/>
      <c r="AN76" s="25"/>
      <c r="AO76" s="25"/>
      <c r="AP76" s="25"/>
      <c r="AQ76" s="25"/>
    </row>
    <row r="77" ht="22.5" customHeight="1">
      <c r="A77" s="26" t="s">
        <v>195</v>
      </c>
      <c r="B77" s="26" t="s">
        <v>25</v>
      </c>
      <c r="C77" s="26" t="s">
        <v>61</v>
      </c>
      <c r="D77" s="26">
        <v>3500.0</v>
      </c>
      <c r="E77" s="26" t="s">
        <v>309</v>
      </c>
      <c r="F77" s="26" t="s">
        <v>219</v>
      </c>
      <c r="G77" s="26">
        <v>3500.0</v>
      </c>
      <c r="H77" s="26" t="s">
        <v>127</v>
      </c>
      <c r="I77" s="26"/>
      <c r="J77" s="26">
        <v>0.0</v>
      </c>
      <c r="K77" s="26" t="s">
        <v>53</v>
      </c>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32">
        <f t="shared" si="1"/>
        <v>7000</v>
      </c>
      <c r="AK77" s="25"/>
      <c r="AL77" s="25"/>
      <c r="AM77" s="25"/>
      <c r="AN77" s="25"/>
      <c r="AO77" s="25"/>
      <c r="AP77" s="25"/>
      <c r="AQ77" s="25"/>
    </row>
    <row r="78" ht="22.5" customHeight="1">
      <c r="A78" s="26" t="s">
        <v>197</v>
      </c>
      <c r="B78" s="26" t="s">
        <v>25</v>
      </c>
      <c r="C78" s="26" t="s">
        <v>61</v>
      </c>
      <c r="D78" s="26">
        <v>3500.0</v>
      </c>
      <c r="E78" s="26" t="s">
        <v>60</v>
      </c>
      <c r="F78" s="26" t="s">
        <v>330</v>
      </c>
      <c r="G78" s="26">
        <v>3500.0</v>
      </c>
      <c r="H78" s="26" t="s">
        <v>53</v>
      </c>
      <c r="I78" s="27"/>
      <c r="J78" s="26">
        <v>0.0</v>
      </c>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32">
        <f t="shared" si="1"/>
        <v>7000</v>
      </c>
      <c r="AK78" s="25"/>
      <c r="AL78" s="25"/>
      <c r="AM78" s="25"/>
      <c r="AN78" s="25"/>
      <c r="AO78" s="25"/>
      <c r="AP78" s="25"/>
      <c r="AQ78" s="25"/>
    </row>
    <row r="79" ht="22.5" customHeight="1">
      <c r="A79" s="26" t="s">
        <v>200</v>
      </c>
      <c r="B79" s="26" t="s">
        <v>25</v>
      </c>
      <c r="C79" s="26" t="s">
        <v>27</v>
      </c>
      <c r="D79" s="26">
        <v>0.0</v>
      </c>
      <c r="E79" s="26" t="s">
        <v>26</v>
      </c>
      <c r="F79" s="26" t="s">
        <v>37</v>
      </c>
      <c r="G79" s="26">
        <v>3000.0</v>
      </c>
      <c r="H79" s="26" t="s">
        <v>329</v>
      </c>
      <c r="I79" s="26" t="s">
        <v>330</v>
      </c>
      <c r="J79" s="26">
        <v>3500.0</v>
      </c>
      <c r="K79" s="26" t="s">
        <v>53</v>
      </c>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32">
        <f t="shared" si="1"/>
        <v>6500</v>
      </c>
      <c r="AK79" s="25"/>
      <c r="AL79" s="25"/>
      <c r="AM79" s="25"/>
      <c r="AN79" s="25"/>
      <c r="AO79" s="25"/>
      <c r="AP79" s="25"/>
      <c r="AQ79" s="25"/>
    </row>
    <row r="80" ht="22.5" customHeight="1">
      <c r="A80" s="34" t="s">
        <v>297</v>
      </c>
      <c r="B80" s="34" t="s">
        <v>25</v>
      </c>
      <c r="C80" s="41" t="s">
        <v>37</v>
      </c>
      <c r="D80" s="41">
        <v>3000.0</v>
      </c>
      <c r="E80" s="34" t="s">
        <v>223</v>
      </c>
      <c r="F80" s="34" t="s">
        <v>225</v>
      </c>
      <c r="G80" s="34">
        <v>3500.0</v>
      </c>
      <c r="H80" s="34" t="s">
        <v>36</v>
      </c>
      <c r="I80" s="34" t="s">
        <v>37</v>
      </c>
      <c r="J80" s="34"/>
      <c r="K80" s="34" t="s">
        <v>108</v>
      </c>
      <c r="L80" s="34" t="s">
        <v>40</v>
      </c>
      <c r="M80" s="34"/>
      <c r="N80" s="34" t="s">
        <v>110</v>
      </c>
      <c r="O80" s="34" t="s">
        <v>114</v>
      </c>
      <c r="P80" s="34"/>
      <c r="Q80" s="34" t="s">
        <v>112</v>
      </c>
      <c r="R80" s="34" t="s">
        <v>116</v>
      </c>
      <c r="S80" s="34"/>
      <c r="T80" s="34" t="s">
        <v>115</v>
      </c>
      <c r="U80" s="26"/>
      <c r="V80" s="26"/>
      <c r="W80" s="26" t="s">
        <v>53</v>
      </c>
      <c r="X80" s="27"/>
      <c r="Y80" s="27"/>
      <c r="Z80" s="27"/>
      <c r="AA80" s="27"/>
      <c r="AB80" s="27"/>
      <c r="AC80" s="27"/>
      <c r="AD80" s="27"/>
      <c r="AE80" s="27"/>
      <c r="AF80" s="27"/>
      <c r="AG80" s="27"/>
      <c r="AH80" s="27"/>
      <c r="AI80" s="27"/>
      <c r="AJ80" s="32">
        <f t="shared" si="1"/>
        <v>6500</v>
      </c>
      <c r="AK80" s="25"/>
      <c r="AL80" s="25"/>
      <c r="AM80" s="25"/>
      <c r="AN80" s="25"/>
      <c r="AO80" s="25"/>
      <c r="AP80" s="25"/>
      <c r="AQ80" s="25"/>
    </row>
    <row r="81" ht="22.5" customHeight="1">
      <c r="A81" s="34" t="s">
        <v>299</v>
      </c>
      <c r="B81" s="34" t="s">
        <v>25</v>
      </c>
      <c r="C81" s="41" t="s">
        <v>37</v>
      </c>
      <c r="D81" s="41">
        <v>3000.0</v>
      </c>
      <c r="E81" s="34" t="s">
        <v>223</v>
      </c>
      <c r="F81" s="34" t="s">
        <v>225</v>
      </c>
      <c r="G81" s="34">
        <v>3500.0</v>
      </c>
      <c r="H81" s="34" t="s">
        <v>36</v>
      </c>
      <c r="I81" s="34" t="s">
        <v>37</v>
      </c>
      <c r="J81" s="34"/>
      <c r="K81" s="34" t="s">
        <v>108</v>
      </c>
      <c r="L81" s="34" t="s">
        <v>40</v>
      </c>
      <c r="M81" s="34"/>
      <c r="N81" s="34" t="s">
        <v>110</v>
      </c>
      <c r="O81" s="34" t="s">
        <v>114</v>
      </c>
      <c r="P81" s="34"/>
      <c r="Q81" s="34" t="s">
        <v>112</v>
      </c>
      <c r="R81" s="34" t="s">
        <v>129</v>
      </c>
      <c r="S81" s="34"/>
      <c r="T81" s="34" t="s">
        <v>127</v>
      </c>
      <c r="U81" s="26"/>
      <c r="V81" s="26"/>
      <c r="W81" s="26" t="s">
        <v>53</v>
      </c>
      <c r="X81" s="27"/>
      <c r="Y81" s="27"/>
      <c r="Z81" s="27"/>
      <c r="AA81" s="27"/>
      <c r="AB81" s="27"/>
      <c r="AC81" s="27"/>
      <c r="AD81" s="27"/>
      <c r="AE81" s="27"/>
      <c r="AF81" s="27"/>
      <c r="AG81" s="27"/>
      <c r="AH81" s="27"/>
      <c r="AI81" s="27"/>
      <c r="AJ81" s="32">
        <f t="shared" si="1"/>
        <v>6500</v>
      </c>
      <c r="AK81" s="25"/>
      <c r="AL81" s="25"/>
      <c r="AM81" s="25"/>
      <c r="AN81" s="25"/>
      <c r="AO81" s="25"/>
      <c r="AP81" s="25"/>
      <c r="AQ81" s="25"/>
    </row>
    <row r="82" ht="22.5" customHeight="1">
      <c r="A82" s="34" t="s">
        <v>301</v>
      </c>
      <c r="B82" s="34" t="s">
        <v>25</v>
      </c>
      <c r="C82" s="41" t="s">
        <v>37</v>
      </c>
      <c r="D82" s="41">
        <v>3000.0</v>
      </c>
      <c r="E82" s="34" t="s">
        <v>223</v>
      </c>
      <c r="F82" s="34" t="s">
        <v>225</v>
      </c>
      <c r="G82" s="34">
        <v>3500.0</v>
      </c>
      <c r="H82" s="34" t="s">
        <v>36</v>
      </c>
      <c r="I82" s="34" t="s">
        <v>37</v>
      </c>
      <c r="J82" s="34"/>
      <c r="K82" s="34" t="s">
        <v>151</v>
      </c>
      <c r="L82" s="34" t="s">
        <v>40</v>
      </c>
      <c r="M82" s="34"/>
      <c r="N82" s="34" t="s">
        <v>152</v>
      </c>
      <c r="O82" s="34" t="s">
        <v>155</v>
      </c>
      <c r="P82" s="34"/>
      <c r="Q82" s="34" t="s">
        <v>112</v>
      </c>
      <c r="R82" s="34" t="s">
        <v>116</v>
      </c>
      <c r="S82" s="34"/>
      <c r="T82" s="34" t="s">
        <v>115</v>
      </c>
      <c r="U82" s="26"/>
      <c r="V82" s="26"/>
      <c r="W82" s="26" t="s">
        <v>53</v>
      </c>
      <c r="X82" s="27"/>
      <c r="Y82" s="27"/>
      <c r="Z82" s="27"/>
      <c r="AA82" s="27"/>
      <c r="AB82" s="27"/>
      <c r="AC82" s="27"/>
      <c r="AD82" s="27"/>
      <c r="AE82" s="27"/>
      <c r="AF82" s="27"/>
      <c r="AG82" s="27"/>
      <c r="AH82" s="27"/>
      <c r="AI82" s="27"/>
      <c r="AJ82" s="32">
        <f t="shared" si="1"/>
        <v>6500</v>
      </c>
      <c r="AK82" s="25"/>
      <c r="AL82" s="25"/>
      <c r="AM82" s="25"/>
      <c r="AN82" s="25"/>
      <c r="AO82" s="25"/>
      <c r="AP82" s="25"/>
      <c r="AQ82" s="25"/>
    </row>
    <row r="83" ht="22.5" customHeight="1">
      <c r="A83" s="34" t="s">
        <v>303</v>
      </c>
      <c r="B83" s="34" t="s">
        <v>25</v>
      </c>
      <c r="C83" s="41" t="s">
        <v>37</v>
      </c>
      <c r="D83" s="41">
        <v>3000.0</v>
      </c>
      <c r="E83" s="34" t="s">
        <v>223</v>
      </c>
      <c r="F83" s="34" t="s">
        <v>225</v>
      </c>
      <c r="G83" s="34">
        <v>3500.0</v>
      </c>
      <c r="H83" s="34" t="s">
        <v>36</v>
      </c>
      <c r="I83" s="34" t="s">
        <v>37</v>
      </c>
      <c r="J83" s="34"/>
      <c r="K83" s="34" t="s">
        <v>151</v>
      </c>
      <c r="L83" s="34" t="s">
        <v>40</v>
      </c>
      <c r="M83" s="34"/>
      <c r="N83" s="34" t="s">
        <v>152</v>
      </c>
      <c r="O83" s="34" t="s">
        <v>155</v>
      </c>
      <c r="P83" s="34"/>
      <c r="Q83" s="34" t="s">
        <v>112</v>
      </c>
      <c r="R83" s="34" t="s">
        <v>129</v>
      </c>
      <c r="S83" s="34"/>
      <c r="T83" s="34" t="s">
        <v>127</v>
      </c>
      <c r="U83" s="26"/>
      <c r="V83" s="26"/>
      <c r="W83" s="26" t="s">
        <v>53</v>
      </c>
      <c r="X83" s="27"/>
      <c r="Y83" s="27"/>
      <c r="Z83" s="27"/>
      <c r="AA83" s="27"/>
      <c r="AB83" s="27"/>
      <c r="AC83" s="27"/>
      <c r="AD83" s="27"/>
      <c r="AE83" s="27"/>
      <c r="AF83" s="27"/>
      <c r="AG83" s="27"/>
      <c r="AH83" s="27"/>
      <c r="AI83" s="27"/>
      <c r="AJ83" s="32">
        <f t="shared" si="1"/>
        <v>6500</v>
      </c>
      <c r="AK83" s="25"/>
      <c r="AL83" s="25"/>
      <c r="AM83" s="25"/>
      <c r="AN83" s="25"/>
      <c r="AO83" s="25"/>
      <c r="AP83" s="25"/>
      <c r="AQ83" s="25"/>
    </row>
    <row r="84" ht="22.5" customHeight="1">
      <c r="A84" s="34" t="s">
        <v>305</v>
      </c>
      <c r="B84" s="34" t="s">
        <v>25</v>
      </c>
      <c r="C84" s="41" t="s">
        <v>37</v>
      </c>
      <c r="D84" s="41">
        <v>3000.0</v>
      </c>
      <c r="E84" s="34" t="s">
        <v>223</v>
      </c>
      <c r="F84" s="34" t="s">
        <v>225</v>
      </c>
      <c r="G84" s="34">
        <v>3500.0</v>
      </c>
      <c r="H84" s="34" t="s">
        <v>36</v>
      </c>
      <c r="I84" s="34" t="s">
        <v>37</v>
      </c>
      <c r="J84" s="34"/>
      <c r="K84" s="34" t="s">
        <v>164</v>
      </c>
      <c r="L84" s="34" t="s">
        <v>40</v>
      </c>
      <c r="M84" s="34"/>
      <c r="N84" s="34" t="s">
        <v>165</v>
      </c>
      <c r="O84" s="34" t="s">
        <v>166</v>
      </c>
      <c r="P84" s="34"/>
      <c r="Q84" s="34" t="s">
        <v>94</v>
      </c>
      <c r="R84" s="34" t="s">
        <v>40</v>
      </c>
      <c r="S84" s="34"/>
      <c r="T84" s="34" t="s">
        <v>98</v>
      </c>
      <c r="U84" s="26" t="s">
        <v>71</v>
      </c>
      <c r="V84" s="26"/>
      <c r="W84" s="26" t="s">
        <v>69</v>
      </c>
      <c r="X84" s="27"/>
      <c r="Y84" s="27"/>
      <c r="Z84" s="26" t="s">
        <v>53</v>
      </c>
      <c r="AA84" s="27"/>
      <c r="AB84" s="27"/>
      <c r="AC84" s="27"/>
      <c r="AD84" s="27"/>
      <c r="AE84" s="27"/>
      <c r="AF84" s="27"/>
      <c r="AG84" s="27"/>
      <c r="AH84" s="27"/>
      <c r="AI84" s="27"/>
      <c r="AJ84" s="32">
        <f t="shared" si="1"/>
        <v>6500</v>
      </c>
      <c r="AK84" s="25"/>
      <c r="AL84" s="25"/>
      <c r="AM84" s="25"/>
      <c r="AN84" s="25"/>
      <c r="AO84" s="25"/>
      <c r="AP84" s="25"/>
      <c r="AQ84" s="25"/>
    </row>
    <row r="85" ht="22.5" customHeight="1">
      <c r="A85" s="34" t="s">
        <v>307</v>
      </c>
      <c r="B85" s="34" t="s">
        <v>25</v>
      </c>
      <c r="C85" s="41" t="s">
        <v>37</v>
      </c>
      <c r="D85" s="41">
        <v>3000.0</v>
      </c>
      <c r="E85" s="34" t="s">
        <v>223</v>
      </c>
      <c r="F85" s="34" t="s">
        <v>225</v>
      </c>
      <c r="G85" s="34">
        <v>3500.0</v>
      </c>
      <c r="H85" s="34" t="s">
        <v>36</v>
      </c>
      <c r="I85" s="34" t="s">
        <v>37</v>
      </c>
      <c r="J85" s="34"/>
      <c r="K85" s="34" t="s">
        <v>426</v>
      </c>
      <c r="L85" s="34" t="s">
        <v>40</v>
      </c>
      <c r="M85" s="34"/>
      <c r="N85" s="34" t="s">
        <v>286</v>
      </c>
      <c r="O85" s="34" t="s">
        <v>311</v>
      </c>
      <c r="P85" s="34"/>
      <c r="Q85" s="34" t="s">
        <v>310</v>
      </c>
      <c r="R85" s="34"/>
      <c r="S85" s="34"/>
      <c r="T85" s="34" t="s">
        <v>53</v>
      </c>
      <c r="U85" s="27"/>
      <c r="V85" s="27"/>
      <c r="W85" s="27"/>
      <c r="X85" s="27"/>
      <c r="Y85" s="27"/>
      <c r="Z85" s="27"/>
      <c r="AA85" s="27"/>
      <c r="AB85" s="27"/>
      <c r="AC85" s="27"/>
      <c r="AD85" s="27"/>
      <c r="AE85" s="27"/>
      <c r="AF85" s="27"/>
      <c r="AG85" s="27"/>
      <c r="AH85" s="27"/>
      <c r="AI85" s="27"/>
      <c r="AJ85" s="32">
        <f t="shared" si="1"/>
        <v>6500</v>
      </c>
      <c r="AK85" s="25"/>
      <c r="AL85" s="25"/>
      <c r="AM85" s="25"/>
      <c r="AN85" s="25"/>
      <c r="AO85" s="25"/>
      <c r="AP85" s="25"/>
      <c r="AQ85" s="25"/>
    </row>
    <row r="86" ht="22.5" customHeight="1">
      <c r="A86" s="34" t="s">
        <v>312</v>
      </c>
      <c r="B86" s="34" t="s">
        <v>25</v>
      </c>
      <c r="C86" s="41" t="s">
        <v>37</v>
      </c>
      <c r="D86" s="41">
        <v>3000.0</v>
      </c>
      <c r="E86" s="34" t="s">
        <v>223</v>
      </c>
      <c r="F86" s="34" t="s">
        <v>225</v>
      </c>
      <c r="G86" s="34">
        <v>3500.0</v>
      </c>
      <c r="H86" s="34" t="s">
        <v>36</v>
      </c>
      <c r="I86" s="34" t="s">
        <v>37</v>
      </c>
      <c r="J86" s="34"/>
      <c r="K86" s="34" t="s">
        <v>321</v>
      </c>
      <c r="L86" s="34" t="s">
        <v>40</v>
      </c>
      <c r="M86" s="34"/>
      <c r="N86" s="34" t="s">
        <v>375</v>
      </c>
      <c r="O86" s="34" t="s">
        <v>323</v>
      </c>
      <c r="P86" s="34"/>
      <c r="Q86" s="34" t="s">
        <v>53</v>
      </c>
      <c r="R86" s="35"/>
      <c r="S86" s="35"/>
      <c r="T86" s="35"/>
      <c r="U86" s="27"/>
      <c r="V86" s="27"/>
      <c r="W86" s="27"/>
      <c r="X86" s="27"/>
      <c r="Y86" s="27"/>
      <c r="Z86" s="27"/>
      <c r="AA86" s="27"/>
      <c r="AB86" s="27"/>
      <c r="AC86" s="27"/>
      <c r="AD86" s="27"/>
      <c r="AE86" s="27"/>
      <c r="AF86" s="27"/>
      <c r="AG86" s="27"/>
      <c r="AH86" s="27"/>
      <c r="AI86" s="27"/>
      <c r="AJ86" s="32">
        <f t="shared" si="1"/>
        <v>6500</v>
      </c>
      <c r="AK86" s="25"/>
      <c r="AL86" s="25"/>
      <c r="AM86" s="25"/>
      <c r="AN86" s="25"/>
      <c r="AO86" s="25"/>
      <c r="AP86" s="25"/>
      <c r="AQ86" s="25"/>
    </row>
    <row r="87" ht="22.5" customHeight="1">
      <c r="A87" s="26" t="s">
        <v>205</v>
      </c>
      <c r="B87" s="26" t="s">
        <v>25</v>
      </c>
      <c r="C87" s="26" t="s">
        <v>61</v>
      </c>
      <c r="D87" s="26">
        <v>3500.0</v>
      </c>
      <c r="E87" s="26" t="s">
        <v>60</v>
      </c>
      <c r="F87" s="26" t="s">
        <v>37</v>
      </c>
      <c r="G87" s="26">
        <v>3000.0</v>
      </c>
      <c r="H87" s="26" t="s">
        <v>108</v>
      </c>
      <c r="I87" s="26" t="s">
        <v>40</v>
      </c>
      <c r="J87" s="26">
        <v>0.0</v>
      </c>
      <c r="K87" s="26" t="s">
        <v>110</v>
      </c>
      <c r="L87" s="26" t="s">
        <v>114</v>
      </c>
      <c r="M87" s="26">
        <v>3500.0</v>
      </c>
      <c r="N87" s="26" t="s">
        <v>112</v>
      </c>
      <c r="O87" s="26" t="s">
        <v>116</v>
      </c>
      <c r="P87" s="26"/>
      <c r="Q87" s="26" t="s">
        <v>115</v>
      </c>
      <c r="R87" s="26"/>
      <c r="S87" s="26"/>
      <c r="T87" s="26" t="s">
        <v>53</v>
      </c>
      <c r="U87" s="27"/>
      <c r="V87" s="27"/>
      <c r="W87" s="27"/>
      <c r="X87" s="27"/>
      <c r="Y87" s="27"/>
      <c r="Z87" s="27"/>
      <c r="AA87" s="27"/>
      <c r="AB87" s="27"/>
      <c r="AC87" s="27"/>
      <c r="AD87" s="27"/>
      <c r="AE87" s="27"/>
      <c r="AF87" s="27"/>
      <c r="AG87" s="27"/>
      <c r="AH87" s="27"/>
      <c r="AI87" s="27"/>
      <c r="AJ87" s="32">
        <f t="shared" si="1"/>
        <v>10000</v>
      </c>
      <c r="AK87" s="25"/>
      <c r="AL87" s="25"/>
      <c r="AM87" s="25"/>
      <c r="AN87" s="25"/>
      <c r="AO87" s="25"/>
      <c r="AP87" s="25"/>
      <c r="AQ87" s="25"/>
    </row>
    <row r="88" ht="22.5" customHeight="1">
      <c r="A88" s="34" t="s">
        <v>315</v>
      </c>
      <c r="B88" s="34" t="s">
        <v>25</v>
      </c>
      <c r="C88" s="34" t="s">
        <v>61</v>
      </c>
      <c r="D88" s="34">
        <v>3500.0</v>
      </c>
      <c r="E88" s="34" t="s">
        <v>60</v>
      </c>
      <c r="F88" s="34" t="s">
        <v>37</v>
      </c>
      <c r="G88" s="34">
        <v>3000.0</v>
      </c>
      <c r="H88" s="34" t="s">
        <v>108</v>
      </c>
      <c r="I88" s="34" t="s">
        <v>40</v>
      </c>
      <c r="J88" s="34">
        <v>0.0</v>
      </c>
      <c r="K88" s="34" t="s">
        <v>110</v>
      </c>
      <c r="L88" s="34" t="s">
        <v>114</v>
      </c>
      <c r="M88" s="34">
        <v>3500.0</v>
      </c>
      <c r="N88" s="34" t="s">
        <v>112</v>
      </c>
      <c r="O88" s="34" t="s">
        <v>129</v>
      </c>
      <c r="P88" s="34"/>
      <c r="Q88" s="34" t="s">
        <v>127</v>
      </c>
      <c r="R88" s="34"/>
      <c r="S88" s="34"/>
      <c r="T88" s="34" t="s">
        <v>53</v>
      </c>
      <c r="U88" s="35"/>
      <c r="V88" s="35"/>
      <c r="W88" s="35"/>
      <c r="X88" s="35"/>
      <c r="Y88" s="35"/>
      <c r="Z88" s="35"/>
      <c r="AA88" s="35"/>
      <c r="AB88" s="35"/>
      <c r="AC88" s="35"/>
      <c r="AD88" s="35"/>
      <c r="AE88" s="35"/>
      <c r="AF88" s="35"/>
      <c r="AG88" s="35"/>
      <c r="AH88" s="35"/>
      <c r="AI88" s="35"/>
      <c r="AJ88" s="35">
        <f t="shared" si="1"/>
        <v>10000</v>
      </c>
      <c r="AK88" s="36"/>
      <c r="AL88" s="36"/>
      <c r="AM88" s="36"/>
      <c r="AN88" s="36"/>
      <c r="AO88" s="36"/>
      <c r="AP88" s="36"/>
      <c r="AQ88" s="36"/>
    </row>
    <row r="89" ht="22.5" customHeight="1">
      <c r="A89" s="26" t="s">
        <v>317</v>
      </c>
      <c r="B89" s="26" t="s">
        <v>25</v>
      </c>
      <c r="C89" s="26" t="s">
        <v>61</v>
      </c>
      <c r="D89" s="26">
        <v>3500.0</v>
      </c>
      <c r="E89" s="26" t="s">
        <v>60</v>
      </c>
      <c r="F89" s="26" t="s">
        <v>37</v>
      </c>
      <c r="G89" s="26">
        <v>3000.0</v>
      </c>
      <c r="H89" s="26" t="s">
        <v>151</v>
      </c>
      <c r="I89" s="26" t="s">
        <v>40</v>
      </c>
      <c r="J89" s="26">
        <v>0.0</v>
      </c>
      <c r="K89" s="26" t="s">
        <v>152</v>
      </c>
      <c r="L89" s="26" t="s">
        <v>155</v>
      </c>
      <c r="M89" s="26">
        <v>3500.0</v>
      </c>
      <c r="N89" s="26" t="s">
        <v>112</v>
      </c>
      <c r="O89" s="26" t="s">
        <v>116</v>
      </c>
      <c r="P89" s="26"/>
      <c r="Q89" s="26" t="s">
        <v>115</v>
      </c>
      <c r="R89" s="26"/>
      <c r="S89" s="26"/>
      <c r="T89" s="26" t="s">
        <v>53</v>
      </c>
      <c r="U89" s="27"/>
      <c r="V89" s="27"/>
      <c r="W89" s="27"/>
      <c r="X89" s="27"/>
      <c r="Y89" s="27"/>
      <c r="Z89" s="27"/>
      <c r="AA89" s="27"/>
      <c r="AB89" s="27"/>
      <c r="AC89" s="27"/>
      <c r="AD89" s="27"/>
      <c r="AE89" s="27"/>
      <c r="AF89" s="27"/>
      <c r="AG89" s="27"/>
      <c r="AH89" s="27"/>
      <c r="AI89" s="27"/>
      <c r="AJ89" s="32">
        <f t="shared" si="1"/>
        <v>10000</v>
      </c>
      <c r="AK89" s="25"/>
      <c r="AL89" s="25"/>
      <c r="AM89" s="25"/>
      <c r="AN89" s="25"/>
      <c r="AO89" s="25"/>
      <c r="AP89" s="25"/>
      <c r="AQ89" s="25"/>
    </row>
    <row r="90" ht="22.5" customHeight="1">
      <c r="A90" s="34" t="s">
        <v>319</v>
      </c>
      <c r="B90" s="34" t="s">
        <v>25</v>
      </c>
      <c r="C90" s="34" t="s">
        <v>61</v>
      </c>
      <c r="D90" s="34">
        <v>3500.0</v>
      </c>
      <c r="E90" s="34" t="s">
        <v>60</v>
      </c>
      <c r="F90" s="34" t="s">
        <v>37</v>
      </c>
      <c r="G90" s="34">
        <v>3000.0</v>
      </c>
      <c r="H90" s="34" t="s">
        <v>151</v>
      </c>
      <c r="I90" s="34" t="s">
        <v>40</v>
      </c>
      <c r="J90" s="34">
        <v>0.0</v>
      </c>
      <c r="K90" s="34" t="s">
        <v>152</v>
      </c>
      <c r="L90" s="34" t="s">
        <v>155</v>
      </c>
      <c r="M90" s="34">
        <v>3500.0</v>
      </c>
      <c r="N90" s="34" t="s">
        <v>112</v>
      </c>
      <c r="O90" s="34" t="s">
        <v>129</v>
      </c>
      <c r="P90" s="34"/>
      <c r="Q90" s="34" t="s">
        <v>127</v>
      </c>
      <c r="R90" s="34"/>
      <c r="S90" s="34"/>
      <c r="T90" s="34" t="s">
        <v>53</v>
      </c>
      <c r="U90" s="35"/>
      <c r="V90" s="35"/>
      <c r="W90" s="35"/>
      <c r="X90" s="35"/>
      <c r="Y90" s="35"/>
      <c r="Z90" s="35"/>
      <c r="AA90" s="35"/>
      <c r="AB90" s="35"/>
      <c r="AC90" s="35"/>
      <c r="AD90" s="35"/>
      <c r="AE90" s="35"/>
      <c r="AF90" s="35"/>
      <c r="AG90" s="35"/>
      <c r="AH90" s="35"/>
      <c r="AI90" s="35"/>
      <c r="AJ90" s="35">
        <f t="shared" si="1"/>
        <v>10000</v>
      </c>
      <c r="AK90" s="36"/>
      <c r="AL90" s="36"/>
      <c r="AM90" s="36"/>
      <c r="AN90" s="36"/>
      <c r="AO90" s="36"/>
      <c r="AP90" s="36"/>
      <c r="AQ90" s="36"/>
    </row>
    <row r="91" ht="22.5" customHeight="1">
      <c r="A91" s="26" t="s">
        <v>322</v>
      </c>
      <c r="B91" s="26" t="s">
        <v>25</v>
      </c>
      <c r="C91" s="26" t="s">
        <v>61</v>
      </c>
      <c r="D91" s="26">
        <v>3500.0</v>
      </c>
      <c r="E91" s="26" t="s">
        <v>60</v>
      </c>
      <c r="F91" s="26" t="s">
        <v>37</v>
      </c>
      <c r="G91" s="26">
        <v>3000.0</v>
      </c>
      <c r="H91" s="26" t="s">
        <v>164</v>
      </c>
      <c r="I91" s="26" t="s">
        <v>40</v>
      </c>
      <c r="J91" s="26">
        <v>0.0</v>
      </c>
      <c r="K91" s="26" t="s">
        <v>165</v>
      </c>
      <c r="L91" s="26" t="s">
        <v>166</v>
      </c>
      <c r="M91" s="26">
        <v>3500.0</v>
      </c>
      <c r="N91" s="26" t="s">
        <v>94</v>
      </c>
      <c r="O91" s="26" t="s">
        <v>40</v>
      </c>
      <c r="P91" s="26"/>
      <c r="Q91" s="26" t="s">
        <v>98</v>
      </c>
      <c r="R91" s="26" t="s">
        <v>71</v>
      </c>
      <c r="S91" s="26"/>
      <c r="T91" s="26" t="s">
        <v>69</v>
      </c>
      <c r="U91" s="27"/>
      <c r="V91" s="27"/>
      <c r="W91" s="26" t="s">
        <v>53</v>
      </c>
      <c r="X91" s="27"/>
      <c r="Y91" s="27"/>
      <c r="Z91" s="27"/>
      <c r="AA91" s="27"/>
      <c r="AB91" s="27"/>
      <c r="AC91" s="27"/>
      <c r="AD91" s="27"/>
      <c r="AE91" s="27"/>
      <c r="AF91" s="27"/>
      <c r="AG91" s="27"/>
      <c r="AH91" s="27"/>
      <c r="AI91" s="27"/>
      <c r="AJ91" s="32">
        <f t="shared" si="1"/>
        <v>10000</v>
      </c>
      <c r="AK91" s="25"/>
      <c r="AL91" s="25"/>
      <c r="AM91" s="25"/>
      <c r="AN91" s="25"/>
      <c r="AO91" s="25"/>
      <c r="AP91" s="25"/>
      <c r="AQ91" s="25"/>
    </row>
    <row r="92" ht="22.5" customHeight="1">
      <c r="A92" s="26" t="s">
        <v>325</v>
      </c>
      <c r="B92" s="26" t="s">
        <v>25</v>
      </c>
      <c r="C92" s="26" t="s">
        <v>61</v>
      </c>
      <c r="D92" s="26">
        <v>3500.0</v>
      </c>
      <c r="E92" s="26" t="s">
        <v>60</v>
      </c>
      <c r="F92" s="26" t="s">
        <v>37</v>
      </c>
      <c r="G92" s="26">
        <v>3000.0</v>
      </c>
      <c r="H92" s="26" t="s">
        <v>426</v>
      </c>
      <c r="I92" s="26" t="s">
        <v>40</v>
      </c>
      <c r="J92" s="26">
        <v>0.0</v>
      </c>
      <c r="K92" s="26" t="s">
        <v>286</v>
      </c>
      <c r="L92" s="26" t="s">
        <v>311</v>
      </c>
      <c r="M92" s="26">
        <v>3500.0</v>
      </c>
      <c r="N92" s="26" t="s">
        <v>310</v>
      </c>
      <c r="O92" s="26"/>
      <c r="P92" s="26"/>
      <c r="Q92" s="26" t="s">
        <v>53</v>
      </c>
      <c r="R92" s="27"/>
      <c r="S92" s="27"/>
      <c r="T92" s="27"/>
      <c r="U92" s="27"/>
      <c r="V92" s="27"/>
      <c r="W92" s="27"/>
      <c r="X92" s="27"/>
      <c r="Y92" s="27"/>
      <c r="Z92" s="27"/>
      <c r="AA92" s="27"/>
      <c r="AB92" s="27"/>
      <c r="AC92" s="27"/>
      <c r="AD92" s="27"/>
      <c r="AE92" s="27"/>
      <c r="AF92" s="27"/>
      <c r="AG92" s="27"/>
      <c r="AH92" s="27"/>
      <c r="AI92" s="27"/>
      <c r="AJ92" s="32">
        <f t="shared" si="1"/>
        <v>10000</v>
      </c>
      <c r="AK92" s="25"/>
      <c r="AL92" s="25"/>
      <c r="AM92" s="25"/>
      <c r="AN92" s="25"/>
      <c r="AO92" s="25"/>
      <c r="AP92" s="25"/>
      <c r="AQ92" s="25"/>
    </row>
    <row r="93" ht="22.5" customHeight="1">
      <c r="A93" s="26" t="s">
        <v>327</v>
      </c>
      <c r="B93" s="26" t="s">
        <v>25</v>
      </c>
      <c r="C93" s="26" t="s">
        <v>61</v>
      </c>
      <c r="D93" s="26">
        <v>3500.0</v>
      </c>
      <c r="E93" s="26" t="s">
        <v>60</v>
      </c>
      <c r="F93" s="26" t="s">
        <v>37</v>
      </c>
      <c r="G93" s="26">
        <v>3000.0</v>
      </c>
      <c r="H93" s="26" t="s">
        <v>321</v>
      </c>
      <c r="I93" s="26" t="s">
        <v>40</v>
      </c>
      <c r="J93" s="26">
        <v>0.0</v>
      </c>
      <c r="K93" s="26" t="s">
        <v>321</v>
      </c>
      <c r="L93" s="26" t="s">
        <v>323</v>
      </c>
      <c r="M93" s="26">
        <v>3500.0</v>
      </c>
      <c r="N93" s="26" t="s">
        <v>427</v>
      </c>
      <c r="O93" s="27"/>
      <c r="P93" s="27"/>
      <c r="Q93" s="26" t="s">
        <v>53</v>
      </c>
      <c r="R93" s="27"/>
      <c r="S93" s="27"/>
      <c r="T93" s="27"/>
      <c r="U93" s="27"/>
      <c r="V93" s="27"/>
      <c r="W93" s="27"/>
      <c r="X93" s="27"/>
      <c r="Y93" s="27"/>
      <c r="Z93" s="27"/>
      <c r="AA93" s="27"/>
      <c r="AB93" s="27"/>
      <c r="AC93" s="27"/>
      <c r="AD93" s="27"/>
      <c r="AE93" s="27"/>
      <c r="AF93" s="27"/>
      <c r="AG93" s="27"/>
      <c r="AH93" s="27"/>
      <c r="AI93" s="27"/>
      <c r="AJ93" s="32">
        <f t="shared" si="1"/>
        <v>10000</v>
      </c>
      <c r="AK93" s="25"/>
      <c r="AL93" s="25"/>
      <c r="AM93" s="25"/>
      <c r="AN93" s="25"/>
      <c r="AO93" s="25"/>
      <c r="AP93" s="25"/>
      <c r="AQ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57"/>
      <c r="AK94" s="25"/>
      <c r="AL94" s="25"/>
      <c r="AM94" s="25"/>
      <c r="AN94" s="25"/>
      <c r="AO94" s="25"/>
      <c r="AP94" s="25"/>
      <c r="AQ94" s="25"/>
    </row>
    <row r="95" ht="15.0"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57"/>
      <c r="AK95" s="25"/>
      <c r="AL95" s="25"/>
      <c r="AM95" s="25"/>
      <c r="AN95" s="25"/>
      <c r="AO95" s="25"/>
      <c r="AP95" s="25"/>
      <c r="AQ95" s="25"/>
    </row>
    <row r="96">
      <c r="B96" s="58" t="s">
        <v>428</v>
      </c>
      <c r="M96" s="58"/>
      <c r="N96" s="58"/>
      <c r="O96" s="58"/>
      <c r="P96" s="58"/>
      <c r="Q96" s="25"/>
      <c r="R96" s="25"/>
      <c r="S96" s="25"/>
      <c r="T96" s="25"/>
      <c r="U96" s="25"/>
      <c r="V96" s="25"/>
      <c r="W96" s="25"/>
      <c r="X96" s="25"/>
      <c r="Y96" s="25"/>
      <c r="Z96" s="25"/>
      <c r="AA96" s="25"/>
      <c r="AB96" s="25"/>
      <c r="AC96" s="25"/>
      <c r="AD96" s="25"/>
      <c r="AE96" s="25"/>
      <c r="AF96" s="25"/>
      <c r="AG96" s="25"/>
      <c r="AH96" s="25"/>
      <c r="AI96" s="25"/>
      <c r="AJ96" s="57"/>
      <c r="AK96" s="25"/>
      <c r="AL96" s="25"/>
      <c r="AM96" s="25"/>
      <c r="AN96" s="25"/>
      <c r="AO96" s="25"/>
      <c r="AP96" s="25"/>
      <c r="AQ96" s="25"/>
    </row>
    <row r="97">
      <c r="A97" s="58"/>
      <c r="B97" s="58"/>
      <c r="C97" s="58"/>
      <c r="D97" s="58"/>
      <c r="E97" s="58"/>
      <c r="F97" s="58"/>
      <c r="G97" s="58"/>
      <c r="H97" s="58"/>
      <c r="I97" s="58"/>
      <c r="J97" s="58"/>
      <c r="K97" s="58"/>
      <c r="L97" s="58"/>
      <c r="M97" s="58"/>
      <c r="N97" s="58"/>
      <c r="O97" s="58"/>
      <c r="P97" s="58"/>
      <c r="Q97" s="25"/>
      <c r="R97" s="25"/>
      <c r="S97" s="25"/>
      <c r="T97" s="25"/>
      <c r="U97" s="25"/>
      <c r="V97" s="25"/>
      <c r="W97" s="25"/>
      <c r="X97" s="25"/>
      <c r="Y97" s="25"/>
      <c r="Z97" s="25"/>
      <c r="AA97" s="25"/>
      <c r="AB97" s="25"/>
      <c r="AC97" s="25"/>
      <c r="AD97" s="25"/>
      <c r="AE97" s="25"/>
      <c r="AF97" s="25"/>
      <c r="AG97" s="25"/>
      <c r="AH97" s="25"/>
      <c r="AI97" s="25"/>
      <c r="AJ97" s="57"/>
      <c r="AK97" s="25"/>
      <c r="AL97" s="25"/>
      <c r="AM97" s="25"/>
      <c r="AN97" s="25"/>
      <c r="AO97" s="25"/>
      <c r="AP97" s="25"/>
      <c r="AQ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57"/>
      <c r="AK98" s="25"/>
      <c r="AL98" s="25"/>
      <c r="AM98" s="25"/>
      <c r="AN98" s="25"/>
      <c r="AO98" s="25"/>
      <c r="AP98" s="25"/>
      <c r="AQ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57"/>
      <c r="AK99" s="25"/>
      <c r="AL99" s="25"/>
      <c r="AM99" s="25"/>
      <c r="AN99" s="25"/>
      <c r="AO99" s="25"/>
      <c r="AP99" s="25"/>
      <c r="AQ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57"/>
      <c r="AK100" s="25"/>
      <c r="AL100" s="25"/>
      <c r="AM100" s="25"/>
      <c r="AN100" s="25"/>
      <c r="AO100" s="25"/>
      <c r="AP100" s="25"/>
      <c r="AQ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57"/>
      <c r="AK101" s="25"/>
      <c r="AL101" s="25"/>
      <c r="AM101" s="25"/>
      <c r="AN101" s="25"/>
      <c r="AO101" s="25"/>
      <c r="AP101" s="25"/>
      <c r="AQ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57"/>
      <c r="AK102" s="25"/>
      <c r="AL102" s="25"/>
      <c r="AM102" s="25"/>
      <c r="AN102" s="25"/>
      <c r="AO102" s="25"/>
      <c r="AP102" s="25"/>
      <c r="AQ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57"/>
      <c r="AK103" s="25"/>
      <c r="AL103" s="25"/>
      <c r="AM103" s="25"/>
      <c r="AN103" s="25"/>
      <c r="AO103" s="25"/>
      <c r="AP103" s="25"/>
      <c r="AQ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57"/>
      <c r="AK104" s="25"/>
      <c r="AL104" s="25"/>
      <c r="AM104" s="25"/>
      <c r="AN104" s="25"/>
      <c r="AO104" s="25"/>
      <c r="AP104" s="25"/>
      <c r="AQ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57"/>
      <c r="AK105" s="25"/>
      <c r="AL105" s="25"/>
      <c r="AM105" s="25"/>
      <c r="AN105" s="25"/>
      <c r="AO105" s="25"/>
      <c r="AP105" s="25"/>
      <c r="AQ105" s="25"/>
    </row>
    <row r="106">
      <c r="A106" s="25"/>
      <c r="B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57"/>
      <c r="AK106" s="25"/>
      <c r="AL106" s="25"/>
      <c r="AM106" s="25"/>
      <c r="AN106" s="25"/>
      <c r="AO106" s="25"/>
      <c r="AP106" s="25"/>
      <c r="AQ106" s="25"/>
    </row>
    <row r="107">
      <c r="A107" s="25"/>
      <c r="B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57"/>
      <c r="AK107" s="25"/>
      <c r="AL107" s="25"/>
      <c r="AM107" s="25"/>
      <c r="AN107" s="25"/>
      <c r="AO107" s="25"/>
      <c r="AP107" s="25"/>
      <c r="AQ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57"/>
      <c r="AK108" s="25"/>
      <c r="AL108" s="25"/>
      <c r="AM108" s="25"/>
      <c r="AN108" s="25"/>
      <c r="AO108" s="25"/>
      <c r="AP108" s="25"/>
      <c r="AQ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57"/>
      <c r="AK109" s="25"/>
      <c r="AL109" s="25"/>
      <c r="AM109" s="25"/>
      <c r="AN109" s="25"/>
      <c r="AO109" s="25"/>
      <c r="AP109" s="25"/>
      <c r="AQ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57"/>
      <c r="AK110" s="25"/>
      <c r="AL110" s="25"/>
      <c r="AM110" s="25"/>
      <c r="AN110" s="25"/>
      <c r="AO110" s="25"/>
      <c r="AP110" s="25"/>
      <c r="AQ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57"/>
      <c r="AK111" s="25"/>
      <c r="AL111" s="25"/>
      <c r="AM111" s="25"/>
      <c r="AN111" s="25"/>
      <c r="AO111" s="25"/>
      <c r="AP111" s="25"/>
      <c r="AQ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57"/>
      <c r="AK112" s="25"/>
      <c r="AL112" s="25"/>
      <c r="AM112" s="25"/>
      <c r="AN112" s="25"/>
      <c r="AO112" s="25"/>
      <c r="AP112" s="25"/>
      <c r="AQ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57"/>
      <c r="AK113" s="25"/>
      <c r="AL113" s="25"/>
      <c r="AM113" s="25"/>
      <c r="AN113" s="25"/>
      <c r="AO113" s="25"/>
      <c r="AP113" s="25"/>
      <c r="AQ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57"/>
      <c r="AK114" s="25"/>
      <c r="AL114" s="25"/>
      <c r="AM114" s="25"/>
      <c r="AN114" s="25"/>
      <c r="AO114" s="25"/>
      <c r="AP114" s="25"/>
      <c r="AQ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57"/>
      <c r="AK115" s="25"/>
      <c r="AL115" s="25"/>
      <c r="AM115" s="25"/>
      <c r="AN115" s="25"/>
      <c r="AO115" s="25"/>
      <c r="AP115" s="25"/>
      <c r="AQ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57"/>
      <c r="AK116" s="25"/>
      <c r="AL116" s="25"/>
      <c r="AM116" s="25"/>
      <c r="AN116" s="25"/>
      <c r="AO116" s="25"/>
      <c r="AP116" s="25"/>
      <c r="AQ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57"/>
      <c r="AK117" s="25"/>
      <c r="AL117" s="25"/>
      <c r="AM117" s="25"/>
      <c r="AN117" s="25"/>
      <c r="AO117" s="25"/>
      <c r="AP117" s="25"/>
      <c r="AQ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57"/>
      <c r="AK118" s="25"/>
      <c r="AL118" s="25"/>
      <c r="AM118" s="25"/>
      <c r="AN118" s="25"/>
      <c r="AO118" s="25"/>
      <c r="AP118" s="25"/>
      <c r="AQ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57"/>
      <c r="AK119" s="25"/>
      <c r="AL119" s="25"/>
      <c r="AM119" s="25"/>
      <c r="AN119" s="25"/>
      <c r="AO119" s="25"/>
      <c r="AP119" s="25"/>
      <c r="AQ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57"/>
      <c r="AK120" s="25"/>
      <c r="AL120" s="25"/>
      <c r="AM120" s="25"/>
      <c r="AN120" s="25"/>
      <c r="AO120" s="25"/>
      <c r="AP120" s="25"/>
      <c r="AQ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57"/>
      <c r="AK121" s="25"/>
      <c r="AL121" s="25"/>
      <c r="AM121" s="25"/>
      <c r="AN121" s="25"/>
      <c r="AO121" s="25"/>
      <c r="AP121" s="25"/>
      <c r="AQ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57"/>
      <c r="AK122" s="25"/>
      <c r="AL122" s="25"/>
      <c r="AM122" s="25"/>
      <c r="AN122" s="25"/>
      <c r="AO122" s="25"/>
      <c r="AP122" s="25"/>
      <c r="AQ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57"/>
      <c r="AK123" s="25"/>
      <c r="AL123" s="25"/>
      <c r="AM123" s="25"/>
      <c r="AN123" s="25"/>
      <c r="AO123" s="25"/>
      <c r="AP123" s="25"/>
      <c r="AQ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57"/>
      <c r="AK124" s="25"/>
      <c r="AL124" s="25"/>
      <c r="AM124" s="25"/>
      <c r="AN124" s="25"/>
      <c r="AO124" s="25"/>
      <c r="AP124" s="25"/>
      <c r="AQ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57"/>
      <c r="AK125" s="25"/>
      <c r="AL125" s="25"/>
      <c r="AM125" s="25"/>
      <c r="AN125" s="25"/>
      <c r="AO125" s="25"/>
      <c r="AP125" s="25"/>
      <c r="AQ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57"/>
      <c r="AK126" s="25"/>
      <c r="AL126" s="25"/>
      <c r="AM126" s="25"/>
      <c r="AN126" s="25"/>
      <c r="AO126" s="25"/>
      <c r="AP126" s="25"/>
      <c r="AQ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57"/>
      <c r="AK127" s="25"/>
      <c r="AL127" s="25"/>
      <c r="AM127" s="25"/>
      <c r="AN127" s="25"/>
      <c r="AO127" s="25"/>
      <c r="AP127" s="25"/>
      <c r="AQ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57"/>
      <c r="AK128" s="25"/>
      <c r="AL128" s="25"/>
      <c r="AM128" s="25"/>
      <c r="AN128" s="25"/>
      <c r="AO128" s="25"/>
      <c r="AP128" s="25"/>
      <c r="AQ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57"/>
      <c r="AK129" s="25"/>
      <c r="AL129" s="25"/>
      <c r="AM129" s="25"/>
      <c r="AN129" s="25"/>
      <c r="AO129" s="25"/>
      <c r="AP129" s="25"/>
      <c r="AQ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57"/>
      <c r="AK130" s="25"/>
      <c r="AL130" s="25"/>
      <c r="AM130" s="25"/>
      <c r="AN130" s="25"/>
      <c r="AO130" s="25"/>
      <c r="AP130" s="25"/>
      <c r="AQ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57"/>
      <c r="AK131" s="25"/>
      <c r="AL131" s="25"/>
      <c r="AM131" s="25"/>
      <c r="AN131" s="25"/>
      <c r="AO131" s="25"/>
      <c r="AP131" s="25"/>
      <c r="AQ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57"/>
      <c r="AK132" s="25"/>
      <c r="AL132" s="25"/>
      <c r="AM132" s="25"/>
      <c r="AN132" s="25"/>
      <c r="AO132" s="25"/>
      <c r="AP132" s="25"/>
      <c r="AQ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57"/>
      <c r="AK133" s="25"/>
      <c r="AL133" s="25"/>
      <c r="AM133" s="25"/>
      <c r="AN133" s="25"/>
      <c r="AO133" s="25"/>
      <c r="AP133" s="25"/>
      <c r="AQ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57"/>
      <c r="AK134" s="25"/>
      <c r="AL134" s="25"/>
      <c r="AM134" s="25"/>
      <c r="AN134" s="25"/>
      <c r="AO134" s="25"/>
      <c r="AP134" s="25"/>
      <c r="AQ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57"/>
      <c r="AK135" s="25"/>
      <c r="AL135" s="25"/>
      <c r="AM135" s="25"/>
      <c r="AN135" s="25"/>
      <c r="AO135" s="25"/>
      <c r="AP135" s="25"/>
      <c r="AQ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57"/>
      <c r="AK136" s="25"/>
      <c r="AL136" s="25"/>
      <c r="AM136" s="25"/>
      <c r="AN136" s="25"/>
      <c r="AO136" s="25"/>
      <c r="AP136" s="25"/>
      <c r="AQ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57"/>
      <c r="AK137" s="25"/>
      <c r="AL137" s="25"/>
      <c r="AM137" s="25"/>
      <c r="AN137" s="25"/>
      <c r="AO137" s="25"/>
      <c r="AP137" s="25"/>
      <c r="AQ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57"/>
      <c r="AK138" s="25"/>
      <c r="AL138" s="25"/>
      <c r="AM138" s="25"/>
      <c r="AN138" s="25"/>
      <c r="AO138" s="25"/>
      <c r="AP138" s="25"/>
      <c r="AQ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57"/>
      <c r="AK139" s="25"/>
      <c r="AL139" s="25"/>
      <c r="AM139" s="25"/>
      <c r="AN139" s="25"/>
      <c r="AO139" s="25"/>
      <c r="AP139" s="25"/>
      <c r="AQ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57"/>
      <c r="AK140" s="25"/>
      <c r="AL140" s="25"/>
      <c r="AM140" s="25"/>
      <c r="AN140" s="25"/>
      <c r="AO140" s="25"/>
      <c r="AP140" s="25"/>
      <c r="AQ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57"/>
      <c r="AK141" s="25"/>
      <c r="AL141" s="25"/>
      <c r="AM141" s="25"/>
      <c r="AN141" s="25"/>
      <c r="AO141" s="25"/>
      <c r="AP141" s="25"/>
      <c r="AQ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57"/>
      <c r="AK142" s="25"/>
      <c r="AL142" s="25"/>
      <c r="AM142" s="25"/>
      <c r="AN142" s="25"/>
      <c r="AO142" s="25"/>
      <c r="AP142" s="25"/>
      <c r="AQ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57"/>
      <c r="AK143" s="25"/>
      <c r="AL143" s="25"/>
      <c r="AM143" s="25"/>
      <c r="AN143" s="25"/>
      <c r="AO143" s="25"/>
      <c r="AP143" s="25"/>
      <c r="AQ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57"/>
      <c r="AK144" s="25"/>
      <c r="AL144" s="25"/>
      <c r="AM144" s="25"/>
      <c r="AN144" s="25"/>
      <c r="AO144" s="25"/>
      <c r="AP144" s="25"/>
      <c r="AQ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57"/>
      <c r="AK145" s="25"/>
      <c r="AL145" s="25"/>
      <c r="AM145" s="25"/>
      <c r="AN145" s="25"/>
      <c r="AO145" s="25"/>
      <c r="AP145" s="25"/>
      <c r="AQ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57"/>
      <c r="AK146" s="25"/>
      <c r="AL146" s="25"/>
      <c r="AM146" s="25"/>
      <c r="AN146" s="25"/>
      <c r="AO146" s="25"/>
      <c r="AP146" s="25"/>
      <c r="AQ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57"/>
      <c r="AK147" s="25"/>
      <c r="AL147" s="25"/>
      <c r="AM147" s="25"/>
      <c r="AN147" s="25"/>
      <c r="AO147" s="25"/>
      <c r="AP147" s="25"/>
      <c r="AQ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57"/>
      <c r="AK148" s="25"/>
      <c r="AL148" s="25"/>
      <c r="AM148" s="25"/>
      <c r="AN148" s="25"/>
      <c r="AO148" s="25"/>
      <c r="AP148" s="25"/>
      <c r="AQ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57"/>
      <c r="AK149" s="25"/>
      <c r="AL149" s="25"/>
      <c r="AM149" s="25"/>
      <c r="AN149" s="25"/>
      <c r="AO149" s="25"/>
      <c r="AP149" s="25"/>
      <c r="AQ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57"/>
      <c r="AK150" s="25"/>
      <c r="AL150" s="25"/>
      <c r="AM150" s="25"/>
      <c r="AN150" s="25"/>
      <c r="AO150" s="25"/>
      <c r="AP150" s="25"/>
      <c r="AQ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57"/>
      <c r="AK151" s="25"/>
      <c r="AL151" s="25"/>
      <c r="AM151" s="25"/>
      <c r="AN151" s="25"/>
      <c r="AO151" s="25"/>
      <c r="AP151" s="25"/>
      <c r="AQ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57"/>
      <c r="AK152" s="25"/>
      <c r="AL152" s="25"/>
      <c r="AM152" s="25"/>
      <c r="AN152" s="25"/>
      <c r="AO152" s="25"/>
      <c r="AP152" s="25"/>
      <c r="AQ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57"/>
      <c r="AK153" s="25"/>
      <c r="AL153" s="25"/>
      <c r="AM153" s="25"/>
      <c r="AN153" s="25"/>
      <c r="AO153" s="25"/>
      <c r="AP153" s="25"/>
      <c r="AQ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57"/>
      <c r="AK154" s="25"/>
      <c r="AL154" s="25"/>
      <c r="AM154" s="25"/>
      <c r="AN154" s="25"/>
      <c r="AO154" s="25"/>
      <c r="AP154" s="25"/>
      <c r="AQ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57"/>
      <c r="AK155" s="25"/>
      <c r="AL155" s="25"/>
      <c r="AM155" s="25"/>
      <c r="AN155" s="25"/>
      <c r="AO155" s="25"/>
      <c r="AP155" s="25"/>
      <c r="AQ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57"/>
      <c r="AK156" s="25"/>
      <c r="AL156" s="25"/>
      <c r="AM156" s="25"/>
      <c r="AN156" s="25"/>
      <c r="AO156" s="25"/>
      <c r="AP156" s="25"/>
      <c r="AQ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57"/>
      <c r="AK157" s="25"/>
      <c r="AL157" s="25"/>
      <c r="AM157" s="25"/>
      <c r="AN157" s="25"/>
      <c r="AO157" s="25"/>
      <c r="AP157" s="25"/>
      <c r="AQ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57"/>
      <c r="AK158" s="25"/>
      <c r="AL158" s="25"/>
      <c r="AM158" s="25"/>
      <c r="AN158" s="25"/>
      <c r="AO158" s="25"/>
      <c r="AP158" s="25"/>
      <c r="AQ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57"/>
      <c r="AK159" s="25"/>
      <c r="AL159" s="25"/>
      <c r="AM159" s="25"/>
      <c r="AN159" s="25"/>
      <c r="AO159" s="25"/>
      <c r="AP159" s="25"/>
      <c r="AQ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57"/>
      <c r="AK160" s="25"/>
      <c r="AL160" s="25"/>
      <c r="AM160" s="25"/>
      <c r="AN160" s="25"/>
      <c r="AO160" s="25"/>
      <c r="AP160" s="25"/>
      <c r="AQ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57"/>
      <c r="AK161" s="25"/>
      <c r="AL161" s="25"/>
      <c r="AM161" s="25"/>
      <c r="AN161" s="25"/>
      <c r="AO161" s="25"/>
      <c r="AP161" s="25"/>
      <c r="AQ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57"/>
      <c r="AK162" s="25"/>
      <c r="AL162" s="25"/>
      <c r="AM162" s="25"/>
      <c r="AN162" s="25"/>
      <c r="AO162" s="25"/>
      <c r="AP162" s="25"/>
      <c r="AQ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57"/>
      <c r="AK163" s="25"/>
      <c r="AL163" s="25"/>
      <c r="AM163" s="25"/>
      <c r="AN163" s="25"/>
      <c r="AO163" s="25"/>
      <c r="AP163" s="25"/>
      <c r="AQ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57"/>
      <c r="AK164" s="25"/>
      <c r="AL164" s="25"/>
      <c r="AM164" s="25"/>
      <c r="AN164" s="25"/>
      <c r="AO164" s="25"/>
      <c r="AP164" s="25"/>
      <c r="AQ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57"/>
      <c r="AK165" s="25"/>
      <c r="AL165" s="25"/>
      <c r="AM165" s="25"/>
      <c r="AN165" s="25"/>
      <c r="AO165" s="25"/>
      <c r="AP165" s="25"/>
      <c r="AQ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57"/>
      <c r="AK166" s="25"/>
      <c r="AL166" s="25"/>
      <c r="AM166" s="25"/>
      <c r="AN166" s="25"/>
      <c r="AO166" s="25"/>
      <c r="AP166" s="25"/>
      <c r="AQ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57"/>
      <c r="AK167" s="25"/>
      <c r="AL167" s="25"/>
      <c r="AM167" s="25"/>
      <c r="AN167" s="25"/>
      <c r="AO167" s="25"/>
      <c r="AP167" s="25"/>
      <c r="AQ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57"/>
      <c r="AK168" s="25"/>
      <c r="AL168" s="25"/>
      <c r="AM168" s="25"/>
      <c r="AN168" s="25"/>
      <c r="AO168" s="25"/>
      <c r="AP168" s="25"/>
      <c r="AQ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57"/>
      <c r="AK169" s="25"/>
      <c r="AL169" s="25"/>
      <c r="AM169" s="25"/>
      <c r="AN169" s="25"/>
      <c r="AO169" s="25"/>
      <c r="AP169" s="25"/>
      <c r="AQ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57"/>
      <c r="AK170" s="25"/>
      <c r="AL170" s="25"/>
      <c r="AM170" s="25"/>
      <c r="AN170" s="25"/>
      <c r="AO170" s="25"/>
      <c r="AP170" s="25"/>
      <c r="AQ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57"/>
      <c r="AK171" s="25"/>
      <c r="AL171" s="25"/>
      <c r="AM171" s="25"/>
      <c r="AN171" s="25"/>
      <c r="AO171" s="25"/>
      <c r="AP171" s="25"/>
      <c r="AQ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57"/>
      <c r="AK172" s="25"/>
      <c r="AL172" s="25"/>
      <c r="AM172" s="25"/>
      <c r="AN172" s="25"/>
      <c r="AO172" s="25"/>
      <c r="AP172" s="25"/>
      <c r="AQ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57"/>
      <c r="AK173" s="25"/>
      <c r="AL173" s="25"/>
      <c r="AM173" s="25"/>
      <c r="AN173" s="25"/>
      <c r="AO173" s="25"/>
      <c r="AP173" s="25"/>
      <c r="AQ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57"/>
      <c r="AK174" s="25"/>
      <c r="AL174" s="25"/>
      <c r="AM174" s="25"/>
      <c r="AN174" s="25"/>
      <c r="AO174" s="25"/>
      <c r="AP174" s="25"/>
      <c r="AQ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57"/>
      <c r="AK175" s="25"/>
      <c r="AL175" s="25"/>
      <c r="AM175" s="25"/>
      <c r="AN175" s="25"/>
      <c r="AO175" s="25"/>
      <c r="AP175" s="25"/>
      <c r="AQ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57"/>
      <c r="AK176" s="25"/>
      <c r="AL176" s="25"/>
      <c r="AM176" s="25"/>
      <c r="AN176" s="25"/>
      <c r="AO176" s="25"/>
      <c r="AP176" s="25"/>
      <c r="AQ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57"/>
      <c r="AK177" s="25"/>
      <c r="AL177" s="25"/>
      <c r="AM177" s="25"/>
      <c r="AN177" s="25"/>
      <c r="AO177" s="25"/>
      <c r="AP177" s="25"/>
      <c r="AQ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57"/>
      <c r="AK178" s="25"/>
      <c r="AL178" s="25"/>
      <c r="AM178" s="25"/>
      <c r="AN178" s="25"/>
      <c r="AO178" s="25"/>
      <c r="AP178" s="25"/>
      <c r="AQ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57"/>
      <c r="AK179" s="25"/>
      <c r="AL179" s="25"/>
      <c r="AM179" s="25"/>
      <c r="AN179" s="25"/>
      <c r="AO179" s="25"/>
      <c r="AP179" s="25"/>
      <c r="AQ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57"/>
      <c r="AK180" s="25"/>
      <c r="AL180" s="25"/>
      <c r="AM180" s="25"/>
      <c r="AN180" s="25"/>
      <c r="AO180" s="25"/>
      <c r="AP180" s="25"/>
      <c r="AQ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57"/>
      <c r="AK181" s="25"/>
      <c r="AL181" s="25"/>
      <c r="AM181" s="25"/>
      <c r="AN181" s="25"/>
      <c r="AO181" s="25"/>
      <c r="AP181" s="25"/>
      <c r="AQ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57"/>
      <c r="AK182" s="25"/>
      <c r="AL182" s="25"/>
      <c r="AM182" s="25"/>
      <c r="AN182" s="25"/>
      <c r="AO182" s="25"/>
      <c r="AP182" s="25"/>
      <c r="AQ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57"/>
      <c r="AK183" s="25"/>
      <c r="AL183" s="25"/>
      <c r="AM183" s="25"/>
      <c r="AN183" s="25"/>
      <c r="AO183" s="25"/>
      <c r="AP183" s="25"/>
      <c r="AQ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57"/>
      <c r="AK184" s="25"/>
      <c r="AL184" s="25"/>
      <c r="AM184" s="25"/>
      <c r="AN184" s="25"/>
      <c r="AO184" s="25"/>
      <c r="AP184" s="25"/>
      <c r="AQ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57"/>
      <c r="AK185" s="25"/>
      <c r="AL185" s="25"/>
      <c r="AM185" s="25"/>
      <c r="AN185" s="25"/>
      <c r="AO185" s="25"/>
      <c r="AP185" s="25"/>
      <c r="AQ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57"/>
      <c r="AK186" s="25"/>
      <c r="AL186" s="25"/>
      <c r="AM186" s="25"/>
      <c r="AN186" s="25"/>
      <c r="AO186" s="25"/>
      <c r="AP186" s="25"/>
      <c r="AQ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57"/>
      <c r="AK187" s="25"/>
      <c r="AL187" s="25"/>
      <c r="AM187" s="25"/>
      <c r="AN187" s="25"/>
      <c r="AO187" s="25"/>
      <c r="AP187" s="25"/>
      <c r="AQ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57"/>
      <c r="AK188" s="25"/>
      <c r="AL188" s="25"/>
      <c r="AM188" s="25"/>
      <c r="AN188" s="25"/>
      <c r="AO188" s="25"/>
      <c r="AP188" s="25"/>
      <c r="AQ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57"/>
      <c r="AK189" s="25"/>
      <c r="AL189" s="25"/>
      <c r="AM189" s="25"/>
      <c r="AN189" s="25"/>
      <c r="AO189" s="25"/>
      <c r="AP189" s="25"/>
      <c r="AQ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57"/>
      <c r="AK190" s="25"/>
      <c r="AL190" s="25"/>
      <c r="AM190" s="25"/>
      <c r="AN190" s="25"/>
      <c r="AO190" s="25"/>
      <c r="AP190" s="25"/>
      <c r="AQ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57"/>
      <c r="AK191" s="25"/>
      <c r="AL191" s="25"/>
      <c r="AM191" s="25"/>
      <c r="AN191" s="25"/>
      <c r="AO191" s="25"/>
      <c r="AP191" s="25"/>
      <c r="AQ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57"/>
      <c r="AK192" s="25"/>
      <c r="AL192" s="25"/>
      <c r="AM192" s="25"/>
      <c r="AN192" s="25"/>
      <c r="AO192" s="25"/>
      <c r="AP192" s="25"/>
      <c r="AQ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57"/>
      <c r="AK193" s="25"/>
      <c r="AL193" s="25"/>
      <c r="AM193" s="25"/>
      <c r="AN193" s="25"/>
      <c r="AO193" s="25"/>
      <c r="AP193" s="25"/>
      <c r="AQ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57"/>
      <c r="AK194" s="25"/>
      <c r="AL194" s="25"/>
      <c r="AM194" s="25"/>
      <c r="AN194" s="25"/>
      <c r="AO194" s="25"/>
      <c r="AP194" s="25"/>
      <c r="AQ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57"/>
      <c r="AK195" s="25"/>
      <c r="AL195" s="25"/>
      <c r="AM195" s="25"/>
      <c r="AN195" s="25"/>
      <c r="AO195" s="25"/>
      <c r="AP195" s="25"/>
      <c r="AQ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57"/>
      <c r="AK196" s="25"/>
      <c r="AL196" s="25"/>
      <c r="AM196" s="25"/>
      <c r="AN196" s="25"/>
      <c r="AO196" s="25"/>
      <c r="AP196" s="25"/>
      <c r="AQ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57"/>
      <c r="AK197" s="25"/>
      <c r="AL197" s="25"/>
      <c r="AM197" s="25"/>
      <c r="AN197" s="25"/>
      <c r="AO197" s="25"/>
      <c r="AP197" s="25"/>
      <c r="AQ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57"/>
      <c r="AK198" s="25"/>
      <c r="AL198" s="25"/>
      <c r="AM198" s="25"/>
      <c r="AN198" s="25"/>
      <c r="AO198" s="25"/>
      <c r="AP198" s="25"/>
      <c r="AQ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57"/>
      <c r="AK199" s="25"/>
      <c r="AL199" s="25"/>
      <c r="AM199" s="25"/>
      <c r="AN199" s="25"/>
      <c r="AO199" s="25"/>
      <c r="AP199" s="25"/>
      <c r="AQ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57"/>
      <c r="AK200" s="25"/>
      <c r="AL200" s="25"/>
      <c r="AM200" s="25"/>
      <c r="AN200" s="25"/>
      <c r="AO200" s="25"/>
      <c r="AP200" s="25"/>
      <c r="AQ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57"/>
      <c r="AK201" s="25"/>
      <c r="AL201" s="25"/>
      <c r="AM201" s="25"/>
      <c r="AN201" s="25"/>
      <c r="AO201" s="25"/>
      <c r="AP201" s="25"/>
      <c r="AQ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57"/>
      <c r="AK202" s="25"/>
      <c r="AL202" s="25"/>
      <c r="AM202" s="25"/>
      <c r="AN202" s="25"/>
      <c r="AO202" s="25"/>
      <c r="AP202" s="25"/>
      <c r="AQ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57"/>
      <c r="AK203" s="25"/>
      <c r="AL203" s="25"/>
      <c r="AM203" s="25"/>
      <c r="AN203" s="25"/>
      <c r="AO203" s="25"/>
      <c r="AP203" s="25"/>
      <c r="AQ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57"/>
      <c r="AK204" s="25"/>
      <c r="AL204" s="25"/>
      <c r="AM204" s="25"/>
      <c r="AN204" s="25"/>
      <c r="AO204" s="25"/>
      <c r="AP204" s="25"/>
      <c r="AQ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57"/>
      <c r="AK205" s="25"/>
      <c r="AL205" s="25"/>
      <c r="AM205" s="25"/>
      <c r="AN205" s="25"/>
      <c r="AO205" s="25"/>
      <c r="AP205" s="25"/>
      <c r="AQ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57"/>
      <c r="AK206" s="25"/>
      <c r="AL206" s="25"/>
      <c r="AM206" s="25"/>
      <c r="AN206" s="25"/>
      <c r="AO206" s="25"/>
      <c r="AP206" s="25"/>
      <c r="AQ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57"/>
      <c r="AK207" s="25"/>
      <c r="AL207" s="25"/>
      <c r="AM207" s="25"/>
      <c r="AN207" s="25"/>
      <c r="AO207" s="25"/>
      <c r="AP207" s="25"/>
      <c r="AQ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57"/>
      <c r="AK208" s="25"/>
      <c r="AL208" s="25"/>
      <c r="AM208" s="25"/>
      <c r="AN208" s="25"/>
      <c r="AO208" s="25"/>
      <c r="AP208" s="25"/>
      <c r="AQ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57"/>
      <c r="AK209" s="25"/>
      <c r="AL209" s="25"/>
      <c r="AM209" s="25"/>
      <c r="AN209" s="25"/>
      <c r="AO209" s="25"/>
      <c r="AP209" s="25"/>
      <c r="AQ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57"/>
      <c r="AK210" s="25"/>
      <c r="AL210" s="25"/>
      <c r="AM210" s="25"/>
      <c r="AN210" s="25"/>
      <c r="AO210" s="25"/>
      <c r="AP210" s="25"/>
      <c r="AQ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57"/>
      <c r="AK211" s="25"/>
      <c r="AL211" s="25"/>
      <c r="AM211" s="25"/>
      <c r="AN211" s="25"/>
      <c r="AO211" s="25"/>
      <c r="AP211" s="25"/>
      <c r="AQ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57"/>
      <c r="AK212" s="25"/>
      <c r="AL212" s="25"/>
      <c r="AM212" s="25"/>
      <c r="AN212" s="25"/>
      <c r="AO212" s="25"/>
      <c r="AP212" s="25"/>
      <c r="AQ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57"/>
      <c r="AK213" s="25"/>
      <c r="AL213" s="25"/>
      <c r="AM213" s="25"/>
      <c r="AN213" s="25"/>
      <c r="AO213" s="25"/>
      <c r="AP213" s="25"/>
      <c r="AQ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57"/>
      <c r="AK214" s="25"/>
      <c r="AL214" s="25"/>
      <c r="AM214" s="25"/>
      <c r="AN214" s="25"/>
      <c r="AO214" s="25"/>
      <c r="AP214" s="25"/>
      <c r="AQ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57"/>
      <c r="AK215" s="25"/>
      <c r="AL215" s="25"/>
      <c r="AM215" s="25"/>
      <c r="AN215" s="25"/>
      <c r="AO215" s="25"/>
      <c r="AP215" s="25"/>
      <c r="AQ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57"/>
      <c r="AK216" s="25"/>
      <c r="AL216" s="25"/>
      <c r="AM216" s="25"/>
      <c r="AN216" s="25"/>
      <c r="AO216" s="25"/>
      <c r="AP216" s="25"/>
      <c r="AQ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57"/>
      <c r="AK217" s="25"/>
      <c r="AL217" s="25"/>
      <c r="AM217" s="25"/>
      <c r="AN217" s="25"/>
      <c r="AO217" s="25"/>
      <c r="AP217" s="25"/>
      <c r="AQ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57"/>
      <c r="AK218" s="25"/>
      <c r="AL218" s="25"/>
      <c r="AM218" s="25"/>
      <c r="AN218" s="25"/>
      <c r="AO218" s="25"/>
      <c r="AP218" s="25"/>
      <c r="AQ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57"/>
      <c r="AK219" s="25"/>
      <c r="AL219" s="25"/>
      <c r="AM219" s="25"/>
      <c r="AN219" s="25"/>
      <c r="AO219" s="25"/>
      <c r="AP219" s="25"/>
      <c r="AQ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57"/>
      <c r="AK220" s="25"/>
      <c r="AL220" s="25"/>
      <c r="AM220" s="25"/>
      <c r="AN220" s="25"/>
      <c r="AO220" s="25"/>
      <c r="AP220" s="25"/>
      <c r="AQ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57"/>
      <c r="AK221" s="25"/>
      <c r="AL221" s="25"/>
      <c r="AM221" s="25"/>
      <c r="AN221" s="25"/>
      <c r="AO221" s="25"/>
      <c r="AP221" s="25"/>
      <c r="AQ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57"/>
      <c r="AK222" s="25"/>
      <c r="AL222" s="25"/>
      <c r="AM222" s="25"/>
      <c r="AN222" s="25"/>
      <c r="AO222" s="25"/>
      <c r="AP222" s="25"/>
      <c r="AQ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57"/>
      <c r="AK223" s="25"/>
      <c r="AL223" s="25"/>
      <c r="AM223" s="25"/>
      <c r="AN223" s="25"/>
      <c r="AO223" s="25"/>
      <c r="AP223" s="25"/>
      <c r="AQ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57"/>
      <c r="AK224" s="25"/>
      <c r="AL224" s="25"/>
      <c r="AM224" s="25"/>
      <c r="AN224" s="25"/>
      <c r="AO224" s="25"/>
      <c r="AP224" s="25"/>
      <c r="AQ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57"/>
      <c r="AK225" s="25"/>
      <c r="AL225" s="25"/>
      <c r="AM225" s="25"/>
      <c r="AN225" s="25"/>
      <c r="AO225" s="25"/>
      <c r="AP225" s="25"/>
      <c r="AQ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57"/>
      <c r="AK226" s="25"/>
      <c r="AL226" s="25"/>
      <c r="AM226" s="25"/>
      <c r="AN226" s="25"/>
      <c r="AO226" s="25"/>
      <c r="AP226" s="25"/>
      <c r="AQ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57"/>
      <c r="AK227" s="25"/>
      <c r="AL227" s="25"/>
      <c r="AM227" s="25"/>
      <c r="AN227" s="25"/>
      <c r="AO227" s="25"/>
      <c r="AP227" s="25"/>
      <c r="AQ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57"/>
      <c r="AK228" s="25"/>
      <c r="AL228" s="25"/>
      <c r="AM228" s="25"/>
      <c r="AN228" s="25"/>
      <c r="AO228" s="25"/>
      <c r="AP228" s="25"/>
      <c r="AQ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57"/>
      <c r="AK229" s="25"/>
      <c r="AL229" s="25"/>
      <c r="AM229" s="25"/>
      <c r="AN229" s="25"/>
      <c r="AO229" s="25"/>
      <c r="AP229" s="25"/>
      <c r="AQ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57"/>
      <c r="AK230" s="25"/>
      <c r="AL230" s="25"/>
      <c r="AM230" s="25"/>
      <c r="AN230" s="25"/>
      <c r="AO230" s="25"/>
      <c r="AP230" s="25"/>
      <c r="AQ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57"/>
      <c r="AK231" s="25"/>
      <c r="AL231" s="25"/>
      <c r="AM231" s="25"/>
      <c r="AN231" s="25"/>
      <c r="AO231" s="25"/>
      <c r="AP231" s="25"/>
      <c r="AQ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57"/>
      <c r="AK232" s="25"/>
      <c r="AL232" s="25"/>
      <c r="AM232" s="25"/>
      <c r="AN232" s="25"/>
      <c r="AO232" s="25"/>
      <c r="AP232" s="25"/>
      <c r="AQ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57"/>
      <c r="AK233" s="25"/>
      <c r="AL233" s="25"/>
      <c r="AM233" s="25"/>
      <c r="AN233" s="25"/>
      <c r="AO233" s="25"/>
      <c r="AP233" s="25"/>
      <c r="AQ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57"/>
      <c r="AK234" s="25"/>
      <c r="AL234" s="25"/>
      <c r="AM234" s="25"/>
      <c r="AN234" s="25"/>
      <c r="AO234" s="25"/>
      <c r="AP234" s="25"/>
      <c r="AQ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57"/>
      <c r="AK235" s="25"/>
      <c r="AL235" s="25"/>
      <c r="AM235" s="25"/>
      <c r="AN235" s="25"/>
      <c r="AO235" s="25"/>
      <c r="AP235" s="25"/>
      <c r="AQ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57"/>
      <c r="AK236" s="25"/>
      <c r="AL236" s="25"/>
      <c r="AM236" s="25"/>
      <c r="AN236" s="25"/>
      <c r="AO236" s="25"/>
      <c r="AP236" s="25"/>
      <c r="AQ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57"/>
      <c r="AK237" s="25"/>
      <c r="AL237" s="25"/>
      <c r="AM237" s="25"/>
      <c r="AN237" s="25"/>
      <c r="AO237" s="25"/>
      <c r="AP237" s="25"/>
      <c r="AQ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57"/>
      <c r="AK238" s="25"/>
      <c r="AL238" s="25"/>
      <c r="AM238" s="25"/>
      <c r="AN238" s="25"/>
      <c r="AO238" s="25"/>
      <c r="AP238" s="25"/>
      <c r="AQ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57"/>
      <c r="AK239" s="25"/>
      <c r="AL239" s="25"/>
      <c r="AM239" s="25"/>
      <c r="AN239" s="25"/>
      <c r="AO239" s="25"/>
      <c r="AP239" s="25"/>
      <c r="AQ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57"/>
      <c r="AK240" s="25"/>
      <c r="AL240" s="25"/>
      <c r="AM240" s="25"/>
      <c r="AN240" s="25"/>
      <c r="AO240" s="25"/>
      <c r="AP240" s="25"/>
      <c r="AQ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57"/>
      <c r="AK241" s="25"/>
      <c r="AL241" s="25"/>
      <c r="AM241" s="25"/>
      <c r="AN241" s="25"/>
      <c r="AO241" s="25"/>
      <c r="AP241" s="25"/>
      <c r="AQ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57"/>
      <c r="AK242" s="25"/>
      <c r="AL242" s="25"/>
      <c r="AM242" s="25"/>
      <c r="AN242" s="25"/>
      <c r="AO242" s="25"/>
      <c r="AP242" s="25"/>
      <c r="AQ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57"/>
      <c r="AK243" s="25"/>
      <c r="AL243" s="25"/>
      <c r="AM243" s="25"/>
      <c r="AN243" s="25"/>
      <c r="AO243" s="25"/>
      <c r="AP243" s="25"/>
      <c r="AQ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57"/>
      <c r="AK244" s="25"/>
      <c r="AL244" s="25"/>
      <c r="AM244" s="25"/>
      <c r="AN244" s="25"/>
      <c r="AO244" s="25"/>
      <c r="AP244" s="25"/>
      <c r="AQ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57"/>
      <c r="AK245" s="25"/>
      <c r="AL245" s="25"/>
      <c r="AM245" s="25"/>
      <c r="AN245" s="25"/>
      <c r="AO245" s="25"/>
      <c r="AP245" s="25"/>
      <c r="AQ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57"/>
      <c r="AK246" s="25"/>
      <c r="AL246" s="25"/>
      <c r="AM246" s="25"/>
      <c r="AN246" s="25"/>
      <c r="AO246" s="25"/>
      <c r="AP246" s="25"/>
      <c r="AQ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57"/>
      <c r="AK247" s="25"/>
      <c r="AL247" s="25"/>
      <c r="AM247" s="25"/>
      <c r="AN247" s="25"/>
      <c r="AO247" s="25"/>
      <c r="AP247" s="25"/>
      <c r="AQ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57"/>
      <c r="AK248" s="25"/>
      <c r="AL248" s="25"/>
      <c r="AM248" s="25"/>
      <c r="AN248" s="25"/>
      <c r="AO248" s="25"/>
      <c r="AP248" s="25"/>
      <c r="AQ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57"/>
      <c r="AK249" s="25"/>
      <c r="AL249" s="25"/>
      <c r="AM249" s="25"/>
      <c r="AN249" s="25"/>
      <c r="AO249" s="25"/>
      <c r="AP249" s="25"/>
      <c r="AQ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57"/>
      <c r="AK250" s="25"/>
      <c r="AL250" s="25"/>
      <c r="AM250" s="25"/>
      <c r="AN250" s="25"/>
      <c r="AO250" s="25"/>
      <c r="AP250" s="25"/>
      <c r="AQ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57"/>
      <c r="AK251" s="25"/>
      <c r="AL251" s="25"/>
      <c r="AM251" s="25"/>
      <c r="AN251" s="25"/>
      <c r="AO251" s="25"/>
      <c r="AP251" s="25"/>
      <c r="AQ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57"/>
      <c r="AK252" s="25"/>
      <c r="AL252" s="25"/>
      <c r="AM252" s="25"/>
      <c r="AN252" s="25"/>
      <c r="AO252" s="25"/>
      <c r="AP252" s="25"/>
      <c r="AQ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57"/>
      <c r="AK253" s="25"/>
      <c r="AL253" s="25"/>
      <c r="AM253" s="25"/>
      <c r="AN253" s="25"/>
      <c r="AO253" s="25"/>
      <c r="AP253" s="25"/>
      <c r="AQ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57"/>
      <c r="AK254" s="25"/>
      <c r="AL254" s="25"/>
      <c r="AM254" s="25"/>
      <c r="AN254" s="25"/>
      <c r="AO254" s="25"/>
      <c r="AP254" s="25"/>
      <c r="AQ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57"/>
      <c r="AK255" s="25"/>
      <c r="AL255" s="25"/>
      <c r="AM255" s="25"/>
      <c r="AN255" s="25"/>
      <c r="AO255" s="25"/>
      <c r="AP255" s="25"/>
      <c r="AQ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57"/>
      <c r="AK256" s="25"/>
      <c r="AL256" s="25"/>
      <c r="AM256" s="25"/>
      <c r="AN256" s="25"/>
      <c r="AO256" s="25"/>
      <c r="AP256" s="25"/>
      <c r="AQ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57"/>
      <c r="AK257" s="25"/>
      <c r="AL257" s="25"/>
      <c r="AM257" s="25"/>
      <c r="AN257" s="25"/>
      <c r="AO257" s="25"/>
      <c r="AP257" s="25"/>
      <c r="AQ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57"/>
      <c r="AK258" s="25"/>
      <c r="AL258" s="25"/>
      <c r="AM258" s="25"/>
      <c r="AN258" s="25"/>
      <c r="AO258" s="25"/>
      <c r="AP258" s="25"/>
      <c r="AQ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57"/>
      <c r="AK259" s="25"/>
      <c r="AL259" s="25"/>
      <c r="AM259" s="25"/>
      <c r="AN259" s="25"/>
      <c r="AO259" s="25"/>
      <c r="AP259" s="25"/>
      <c r="AQ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57"/>
      <c r="AK260" s="25"/>
      <c r="AL260" s="25"/>
      <c r="AM260" s="25"/>
      <c r="AN260" s="25"/>
      <c r="AO260" s="25"/>
      <c r="AP260" s="25"/>
      <c r="AQ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57"/>
      <c r="AK261" s="25"/>
      <c r="AL261" s="25"/>
      <c r="AM261" s="25"/>
      <c r="AN261" s="25"/>
      <c r="AO261" s="25"/>
      <c r="AP261" s="25"/>
      <c r="AQ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57"/>
      <c r="AK262" s="25"/>
      <c r="AL262" s="25"/>
      <c r="AM262" s="25"/>
      <c r="AN262" s="25"/>
      <c r="AO262" s="25"/>
      <c r="AP262" s="25"/>
      <c r="AQ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57"/>
      <c r="AK263" s="25"/>
      <c r="AL263" s="25"/>
      <c r="AM263" s="25"/>
      <c r="AN263" s="25"/>
      <c r="AO263" s="25"/>
      <c r="AP263" s="25"/>
      <c r="AQ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57"/>
      <c r="AK264" s="25"/>
      <c r="AL264" s="25"/>
      <c r="AM264" s="25"/>
      <c r="AN264" s="25"/>
      <c r="AO264" s="25"/>
      <c r="AP264" s="25"/>
      <c r="AQ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57"/>
      <c r="AK265" s="25"/>
      <c r="AL265" s="25"/>
      <c r="AM265" s="25"/>
      <c r="AN265" s="25"/>
      <c r="AO265" s="25"/>
      <c r="AP265" s="25"/>
      <c r="AQ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57"/>
      <c r="AK266" s="25"/>
      <c r="AL266" s="25"/>
      <c r="AM266" s="25"/>
      <c r="AN266" s="25"/>
      <c r="AO266" s="25"/>
      <c r="AP266" s="25"/>
      <c r="AQ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57"/>
      <c r="AK267" s="25"/>
      <c r="AL267" s="25"/>
      <c r="AM267" s="25"/>
      <c r="AN267" s="25"/>
      <c r="AO267" s="25"/>
      <c r="AP267" s="25"/>
      <c r="AQ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57"/>
      <c r="AK268" s="25"/>
      <c r="AL268" s="25"/>
      <c r="AM268" s="25"/>
      <c r="AN268" s="25"/>
      <c r="AO268" s="25"/>
      <c r="AP268" s="25"/>
      <c r="AQ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57"/>
      <c r="AK269" s="25"/>
      <c r="AL269" s="25"/>
      <c r="AM269" s="25"/>
      <c r="AN269" s="25"/>
      <c r="AO269" s="25"/>
      <c r="AP269" s="25"/>
      <c r="AQ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57"/>
      <c r="AK270" s="25"/>
      <c r="AL270" s="25"/>
      <c r="AM270" s="25"/>
      <c r="AN270" s="25"/>
      <c r="AO270" s="25"/>
      <c r="AP270" s="25"/>
      <c r="AQ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57"/>
      <c r="AK271" s="25"/>
      <c r="AL271" s="25"/>
      <c r="AM271" s="25"/>
      <c r="AN271" s="25"/>
      <c r="AO271" s="25"/>
      <c r="AP271" s="25"/>
      <c r="AQ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57"/>
      <c r="AK272" s="25"/>
      <c r="AL272" s="25"/>
      <c r="AM272" s="25"/>
      <c r="AN272" s="25"/>
      <c r="AO272" s="25"/>
      <c r="AP272" s="25"/>
      <c r="AQ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57"/>
      <c r="AK273" s="25"/>
      <c r="AL273" s="25"/>
      <c r="AM273" s="25"/>
      <c r="AN273" s="25"/>
      <c r="AO273" s="25"/>
      <c r="AP273" s="25"/>
      <c r="AQ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57"/>
      <c r="AK274" s="25"/>
      <c r="AL274" s="25"/>
      <c r="AM274" s="25"/>
      <c r="AN274" s="25"/>
      <c r="AO274" s="25"/>
      <c r="AP274" s="25"/>
      <c r="AQ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57"/>
      <c r="AK275" s="25"/>
      <c r="AL275" s="25"/>
      <c r="AM275" s="25"/>
      <c r="AN275" s="25"/>
      <c r="AO275" s="25"/>
      <c r="AP275" s="25"/>
      <c r="AQ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57"/>
      <c r="AK276" s="25"/>
      <c r="AL276" s="25"/>
      <c r="AM276" s="25"/>
      <c r="AN276" s="25"/>
      <c r="AO276" s="25"/>
      <c r="AP276" s="25"/>
      <c r="AQ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57"/>
      <c r="AK277" s="25"/>
      <c r="AL277" s="25"/>
      <c r="AM277" s="25"/>
      <c r="AN277" s="25"/>
      <c r="AO277" s="25"/>
      <c r="AP277" s="25"/>
      <c r="AQ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57"/>
      <c r="AK278" s="25"/>
      <c r="AL278" s="25"/>
      <c r="AM278" s="25"/>
      <c r="AN278" s="25"/>
      <c r="AO278" s="25"/>
      <c r="AP278" s="25"/>
      <c r="AQ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57"/>
      <c r="AK279" s="25"/>
      <c r="AL279" s="25"/>
      <c r="AM279" s="25"/>
      <c r="AN279" s="25"/>
      <c r="AO279" s="25"/>
      <c r="AP279" s="25"/>
      <c r="AQ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57"/>
      <c r="AK280" s="25"/>
      <c r="AL280" s="25"/>
      <c r="AM280" s="25"/>
      <c r="AN280" s="25"/>
      <c r="AO280" s="25"/>
      <c r="AP280" s="25"/>
      <c r="AQ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57"/>
      <c r="AK281" s="25"/>
      <c r="AL281" s="25"/>
      <c r="AM281" s="25"/>
      <c r="AN281" s="25"/>
      <c r="AO281" s="25"/>
      <c r="AP281" s="25"/>
      <c r="AQ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57"/>
      <c r="AK282" s="25"/>
      <c r="AL282" s="25"/>
      <c r="AM282" s="25"/>
      <c r="AN282" s="25"/>
      <c r="AO282" s="25"/>
      <c r="AP282" s="25"/>
      <c r="AQ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57"/>
      <c r="AK283" s="25"/>
      <c r="AL283" s="25"/>
      <c r="AM283" s="25"/>
      <c r="AN283" s="25"/>
      <c r="AO283" s="25"/>
      <c r="AP283" s="25"/>
      <c r="AQ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57"/>
      <c r="AK284" s="25"/>
      <c r="AL284" s="25"/>
      <c r="AM284" s="25"/>
      <c r="AN284" s="25"/>
      <c r="AO284" s="25"/>
      <c r="AP284" s="25"/>
      <c r="AQ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57"/>
      <c r="AK285" s="25"/>
      <c r="AL285" s="25"/>
      <c r="AM285" s="25"/>
      <c r="AN285" s="25"/>
      <c r="AO285" s="25"/>
      <c r="AP285" s="25"/>
      <c r="AQ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57"/>
      <c r="AK286" s="25"/>
      <c r="AL286" s="25"/>
      <c r="AM286" s="25"/>
      <c r="AN286" s="25"/>
      <c r="AO286" s="25"/>
      <c r="AP286" s="25"/>
      <c r="AQ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57"/>
      <c r="AK287" s="25"/>
      <c r="AL287" s="25"/>
      <c r="AM287" s="25"/>
      <c r="AN287" s="25"/>
      <c r="AO287" s="25"/>
      <c r="AP287" s="25"/>
      <c r="AQ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57"/>
      <c r="AK288" s="25"/>
      <c r="AL288" s="25"/>
      <c r="AM288" s="25"/>
      <c r="AN288" s="25"/>
      <c r="AO288" s="25"/>
      <c r="AP288" s="25"/>
      <c r="AQ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57"/>
      <c r="AK289" s="25"/>
      <c r="AL289" s="25"/>
      <c r="AM289" s="25"/>
      <c r="AN289" s="25"/>
      <c r="AO289" s="25"/>
      <c r="AP289" s="25"/>
      <c r="AQ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57"/>
      <c r="AK290" s="25"/>
      <c r="AL290" s="25"/>
      <c r="AM290" s="25"/>
      <c r="AN290" s="25"/>
      <c r="AO290" s="25"/>
      <c r="AP290" s="25"/>
      <c r="AQ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57"/>
      <c r="AK291" s="25"/>
      <c r="AL291" s="25"/>
      <c r="AM291" s="25"/>
      <c r="AN291" s="25"/>
      <c r="AO291" s="25"/>
      <c r="AP291" s="25"/>
      <c r="AQ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57"/>
      <c r="AK292" s="25"/>
      <c r="AL292" s="25"/>
      <c r="AM292" s="25"/>
      <c r="AN292" s="25"/>
      <c r="AO292" s="25"/>
      <c r="AP292" s="25"/>
      <c r="AQ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57"/>
      <c r="AK293" s="25"/>
      <c r="AL293" s="25"/>
      <c r="AM293" s="25"/>
      <c r="AN293" s="25"/>
      <c r="AO293" s="25"/>
      <c r="AP293" s="25"/>
      <c r="AQ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57"/>
      <c r="AK294" s="25"/>
      <c r="AL294" s="25"/>
      <c r="AM294" s="25"/>
      <c r="AN294" s="25"/>
      <c r="AO294" s="25"/>
      <c r="AP294" s="25"/>
      <c r="AQ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57"/>
      <c r="AK295" s="25"/>
      <c r="AL295" s="25"/>
      <c r="AM295" s="25"/>
      <c r="AN295" s="25"/>
      <c r="AO295" s="25"/>
      <c r="AP295" s="25"/>
      <c r="AQ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57"/>
      <c r="AK296" s="25"/>
      <c r="AL296" s="25"/>
      <c r="AM296" s="25"/>
      <c r="AN296" s="25"/>
      <c r="AO296" s="25"/>
      <c r="AP296" s="25"/>
      <c r="AQ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57"/>
      <c r="AK297" s="25"/>
      <c r="AL297" s="25"/>
      <c r="AM297" s="25"/>
      <c r="AN297" s="25"/>
      <c r="AO297" s="25"/>
      <c r="AP297" s="25"/>
      <c r="AQ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57"/>
      <c r="AK298" s="25"/>
      <c r="AL298" s="25"/>
      <c r="AM298" s="25"/>
      <c r="AN298" s="25"/>
      <c r="AO298" s="25"/>
      <c r="AP298" s="25"/>
      <c r="AQ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57"/>
      <c r="AK299" s="25"/>
      <c r="AL299" s="25"/>
      <c r="AM299" s="25"/>
      <c r="AN299" s="25"/>
      <c r="AO299" s="25"/>
      <c r="AP299" s="25"/>
      <c r="AQ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57"/>
      <c r="AK300" s="25"/>
      <c r="AL300" s="25"/>
      <c r="AM300" s="25"/>
      <c r="AN300" s="25"/>
      <c r="AO300" s="25"/>
      <c r="AP300" s="25"/>
      <c r="AQ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57"/>
      <c r="AK301" s="25"/>
      <c r="AL301" s="25"/>
      <c r="AM301" s="25"/>
      <c r="AN301" s="25"/>
      <c r="AO301" s="25"/>
      <c r="AP301" s="25"/>
      <c r="AQ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57"/>
      <c r="AK302" s="25"/>
      <c r="AL302" s="25"/>
      <c r="AM302" s="25"/>
      <c r="AN302" s="25"/>
      <c r="AO302" s="25"/>
      <c r="AP302" s="25"/>
      <c r="AQ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57"/>
      <c r="AK303" s="25"/>
      <c r="AL303" s="25"/>
      <c r="AM303" s="25"/>
      <c r="AN303" s="25"/>
      <c r="AO303" s="25"/>
      <c r="AP303" s="25"/>
      <c r="AQ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57"/>
      <c r="AK304" s="25"/>
      <c r="AL304" s="25"/>
      <c r="AM304" s="25"/>
      <c r="AN304" s="25"/>
      <c r="AO304" s="25"/>
      <c r="AP304" s="25"/>
      <c r="AQ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57"/>
      <c r="AK305" s="25"/>
      <c r="AL305" s="25"/>
      <c r="AM305" s="25"/>
      <c r="AN305" s="25"/>
      <c r="AO305" s="25"/>
      <c r="AP305" s="25"/>
      <c r="AQ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57"/>
      <c r="AK306" s="25"/>
      <c r="AL306" s="25"/>
      <c r="AM306" s="25"/>
      <c r="AN306" s="25"/>
      <c r="AO306" s="25"/>
      <c r="AP306" s="25"/>
      <c r="AQ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57"/>
      <c r="AK307" s="25"/>
      <c r="AL307" s="25"/>
      <c r="AM307" s="25"/>
      <c r="AN307" s="25"/>
      <c r="AO307" s="25"/>
      <c r="AP307" s="25"/>
      <c r="AQ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57"/>
      <c r="AK308" s="25"/>
      <c r="AL308" s="25"/>
      <c r="AM308" s="25"/>
      <c r="AN308" s="25"/>
      <c r="AO308" s="25"/>
      <c r="AP308" s="25"/>
      <c r="AQ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57"/>
      <c r="AK309" s="25"/>
      <c r="AL309" s="25"/>
      <c r="AM309" s="25"/>
      <c r="AN309" s="25"/>
      <c r="AO309" s="25"/>
      <c r="AP309" s="25"/>
      <c r="AQ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57"/>
      <c r="AK310" s="25"/>
      <c r="AL310" s="25"/>
      <c r="AM310" s="25"/>
      <c r="AN310" s="25"/>
      <c r="AO310" s="25"/>
      <c r="AP310" s="25"/>
      <c r="AQ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57"/>
      <c r="AK311" s="25"/>
      <c r="AL311" s="25"/>
      <c r="AM311" s="25"/>
      <c r="AN311" s="25"/>
      <c r="AO311" s="25"/>
      <c r="AP311" s="25"/>
      <c r="AQ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57"/>
      <c r="AK312" s="25"/>
      <c r="AL312" s="25"/>
      <c r="AM312" s="25"/>
      <c r="AN312" s="25"/>
      <c r="AO312" s="25"/>
      <c r="AP312" s="25"/>
      <c r="AQ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57"/>
      <c r="AK313" s="25"/>
      <c r="AL313" s="25"/>
      <c r="AM313" s="25"/>
      <c r="AN313" s="25"/>
      <c r="AO313" s="25"/>
      <c r="AP313" s="25"/>
      <c r="AQ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57"/>
      <c r="AK314" s="25"/>
      <c r="AL314" s="25"/>
      <c r="AM314" s="25"/>
      <c r="AN314" s="25"/>
      <c r="AO314" s="25"/>
      <c r="AP314" s="25"/>
      <c r="AQ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57"/>
      <c r="AK315" s="25"/>
      <c r="AL315" s="25"/>
      <c r="AM315" s="25"/>
      <c r="AN315" s="25"/>
      <c r="AO315" s="25"/>
      <c r="AP315" s="25"/>
      <c r="AQ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57"/>
      <c r="AK316" s="25"/>
      <c r="AL316" s="25"/>
      <c r="AM316" s="25"/>
      <c r="AN316" s="25"/>
      <c r="AO316" s="25"/>
      <c r="AP316" s="25"/>
      <c r="AQ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57"/>
      <c r="AK317" s="25"/>
      <c r="AL317" s="25"/>
      <c r="AM317" s="25"/>
      <c r="AN317" s="25"/>
      <c r="AO317" s="25"/>
      <c r="AP317" s="25"/>
      <c r="AQ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57"/>
      <c r="AK318" s="25"/>
      <c r="AL318" s="25"/>
      <c r="AM318" s="25"/>
      <c r="AN318" s="25"/>
      <c r="AO318" s="25"/>
      <c r="AP318" s="25"/>
      <c r="AQ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57"/>
      <c r="AK319" s="25"/>
      <c r="AL319" s="25"/>
      <c r="AM319" s="25"/>
      <c r="AN319" s="25"/>
      <c r="AO319" s="25"/>
      <c r="AP319" s="25"/>
      <c r="AQ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57"/>
      <c r="AK320" s="25"/>
      <c r="AL320" s="25"/>
      <c r="AM320" s="25"/>
      <c r="AN320" s="25"/>
      <c r="AO320" s="25"/>
      <c r="AP320" s="25"/>
      <c r="AQ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57"/>
      <c r="AK321" s="25"/>
      <c r="AL321" s="25"/>
      <c r="AM321" s="25"/>
      <c r="AN321" s="25"/>
      <c r="AO321" s="25"/>
      <c r="AP321" s="25"/>
      <c r="AQ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57"/>
      <c r="AK322" s="25"/>
      <c r="AL322" s="25"/>
      <c r="AM322" s="25"/>
      <c r="AN322" s="25"/>
      <c r="AO322" s="25"/>
      <c r="AP322" s="25"/>
      <c r="AQ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57"/>
      <c r="AK323" s="25"/>
      <c r="AL323" s="25"/>
      <c r="AM323" s="25"/>
      <c r="AN323" s="25"/>
      <c r="AO323" s="25"/>
      <c r="AP323" s="25"/>
      <c r="AQ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57"/>
      <c r="AK324" s="25"/>
      <c r="AL324" s="25"/>
      <c r="AM324" s="25"/>
      <c r="AN324" s="25"/>
      <c r="AO324" s="25"/>
      <c r="AP324" s="25"/>
      <c r="AQ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57"/>
      <c r="AK325" s="25"/>
      <c r="AL325" s="25"/>
      <c r="AM325" s="25"/>
      <c r="AN325" s="25"/>
      <c r="AO325" s="25"/>
      <c r="AP325" s="25"/>
      <c r="AQ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57"/>
      <c r="AK326" s="25"/>
      <c r="AL326" s="25"/>
      <c r="AM326" s="25"/>
      <c r="AN326" s="25"/>
      <c r="AO326" s="25"/>
      <c r="AP326" s="25"/>
      <c r="AQ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57"/>
      <c r="AK327" s="25"/>
      <c r="AL327" s="25"/>
      <c r="AM327" s="25"/>
      <c r="AN327" s="25"/>
      <c r="AO327" s="25"/>
      <c r="AP327" s="25"/>
      <c r="AQ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57"/>
      <c r="AK328" s="25"/>
      <c r="AL328" s="25"/>
      <c r="AM328" s="25"/>
      <c r="AN328" s="25"/>
      <c r="AO328" s="25"/>
      <c r="AP328" s="25"/>
      <c r="AQ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57"/>
      <c r="AK329" s="25"/>
      <c r="AL329" s="25"/>
      <c r="AM329" s="25"/>
      <c r="AN329" s="25"/>
      <c r="AO329" s="25"/>
      <c r="AP329" s="25"/>
      <c r="AQ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57"/>
      <c r="AK330" s="25"/>
      <c r="AL330" s="25"/>
      <c r="AM330" s="25"/>
      <c r="AN330" s="25"/>
      <c r="AO330" s="25"/>
      <c r="AP330" s="25"/>
      <c r="AQ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57"/>
      <c r="AK331" s="25"/>
      <c r="AL331" s="25"/>
      <c r="AM331" s="25"/>
      <c r="AN331" s="25"/>
      <c r="AO331" s="25"/>
      <c r="AP331" s="25"/>
      <c r="AQ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57"/>
      <c r="AK332" s="25"/>
      <c r="AL332" s="25"/>
      <c r="AM332" s="25"/>
      <c r="AN332" s="25"/>
      <c r="AO332" s="25"/>
      <c r="AP332" s="25"/>
      <c r="AQ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57"/>
      <c r="AK333" s="25"/>
      <c r="AL333" s="25"/>
      <c r="AM333" s="25"/>
      <c r="AN333" s="25"/>
      <c r="AO333" s="25"/>
      <c r="AP333" s="25"/>
      <c r="AQ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57"/>
      <c r="AK334" s="25"/>
      <c r="AL334" s="25"/>
      <c r="AM334" s="25"/>
      <c r="AN334" s="25"/>
      <c r="AO334" s="25"/>
      <c r="AP334" s="25"/>
      <c r="AQ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57"/>
      <c r="AK335" s="25"/>
      <c r="AL335" s="25"/>
      <c r="AM335" s="25"/>
      <c r="AN335" s="25"/>
      <c r="AO335" s="25"/>
      <c r="AP335" s="25"/>
      <c r="AQ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57"/>
      <c r="AK336" s="25"/>
      <c r="AL336" s="25"/>
      <c r="AM336" s="25"/>
      <c r="AN336" s="25"/>
      <c r="AO336" s="25"/>
      <c r="AP336" s="25"/>
      <c r="AQ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57"/>
      <c r="AK337" s="25"/>
      <c r="AL337" s="25"/>
      <c r="AM337" s="25"/>
      <c r="AN337" s="25"/>
      <c r="AO337" s="25"/>
      <c r="AP337" s="25"/>
      <c r="AQ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57"/>
      <c r="AK338" s="25"/>
      <c r="AL338" s="25"/>
      <c r="AM338" s="25"/>
      <c r="AN338" s="25"/>
      <c r="AO338" s="25"/>
      <c r="AP338" s="25"/>
      <c r="AQ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57"/>
      <c r="AK339" s="25"/>
      <c r="AL339" s="25"/>
      <c r="AM339" s="25"/>
      <c r="AN339" s="25"/>
      <c r="AO339" s="25"/>
      <c r="AP339" s="25"/>
      <c r="AQ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57"/>
      <c r="AK340" s="25"/>
      <c r="AL340" s="25"/>
      <c r="AM340" s="25"/>
      <c r="AN340" s="25"/>
      <c r="AO340" s="25"/>
      <c r="AP340" s="25"/>
      <c r="AQ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57"/>
      <c r="AK341" s="25"/>
      <c r="AL341" s="25"/>
      <c r="AM341" s="25"/>
      <c r="AN341" s="25"/>
      <c r="AO341" s="25"/>
      <c r="AP341" s="25"/>
      <c r="AQ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57"/>
      <c r="AK342" s="25"/>
      <c r="AL342" s="25"/>
      <c r="AM342" s="25"/>
      <c r="AN342" s="25"/>
      <c r="AO342" s="25"/>
      <c r="AP342" s="25"/>
      <c r="AQ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57"/>
      <c r="AK343" s="25"/>
      <c r="AL343" s="25"/>
      <c r="AM343" s="25"/>
      <c r="AN343" s="25"/>
      <c r="AO343" s="25"/>
      <c r="AP343" s="25"/>
      <c r="AQ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57"/>
      <c r="AK344" s="25"/>
      <c r="AL344" s="25"/>
      <c r="AM344" s="25"/>
      <c r="AN344" s="25"/>
      <c r="AO344" s="25"/>
      <c r="AP344" s="25"/>
      <c r="AQ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57"/>
      <c r="AK345" s="25"/>
      <c r="AL345" s="25"/>
      <c r="AM345" s="25"/>
      <c r="AN345" s="25"/>
      <c r="AO345" s="25"/>
      <c r="AP345" s="25"/>
      <c r="AQ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57"/>
      <c r="AK346" s="25"/>
      <c r="AL346" s="25"/>
      <c r="AM346" s="25"/>
      <c r="AN346" s="25"/>
      <c r="AO346" s="25"/>
      <c r="AP346" s="25"/>
      <c r="AQ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57"/>
      <c r="AK347" s="25"/>
      <c r="AL347" s="25"/>
      <c r="AM347" s="25"/>
      <c r="AN347" s="25"/>
      <c r="AO347" s="25"/>
      <c r="AP347" s="25"/>
      <c r="AQ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57"/>
      <c r="AK348" s="25"/>
      <c r="AL348" s="25"/>
      <c r="AM348" s="25"/>
      <c r="AN348" s="25"/>
      <c r="AO348" s="25"/>
      <c r="AP348" s="25"/>
      <c r="AQ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57"/>
      <c r="AK349" s="25"/>
      <c r="AL349" s="25"/>
      <c r="AM349" s="25"/>
      <c r="AN349" s="25"/>
      <c r="AO349" s="25"/>
      <c r="AP349" s="25"/>
      <c r="AQ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57"/>
      <c r="AK350" s="25"/>
      <c r="AL350" s="25"/>
      <c r="AM350" s="25"/>
      <c r="AN350" s="25"/>
      <c r="AO350" s="25"/>
      <c r="AP350" s="25"/>
      <c r="AQ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57"/>
      <c r="AK351" s="25"/>
      <c r="AL351" s="25"/>
      <c r="AM351" s="25"/>
      <c r="AN351" s="25"/>
      <c r="AO351" s="25"/>
      <c r="AP351" s="25"/>
      <c r="AQ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57"/>
      <c r="AK352" s="25"/>
      <c r="AL352" s="25"/>
      <c r="AM352" s="25"/>
      <c r="AN352" s="25"/>
      <c r="AO352" s="25"/>
      <c r="AP352" s="25"/>
      <c r="AQ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57"/>
      <c r="AK353" s="25"/>
      <c r="AL353" s="25"/>
      <c r="AM353" s="25"/>
      <c r="AN353" s="25"/>
      <c r="AO353" s="25"/>
      <c r="AP353" s="25"/>
      <c r="AQ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57"/>
      <c r="AK354" s="25"/>
      <c r="AL354" s="25"/>
      <c r="AM354" s="25"/>
      <c r="AN354" s="25"/>
      <c r="AO354" s="25"/>
      <c r="AP354" s="25"/>
      <c r="AQ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57"/>
      <c r="AK355" s="25"/>
      <c r="AL355" s="25"/>
      <c r="AM355" s="25"/>
      <c r="AN355" s="25"/>
      <c r="AO355" s="25"/>
      <c r="AP355" s="25"/>
      <c r="AQ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57"/>
      <c r="AK356" s="25"/>
      <c r="AL356" s="25"/>
      <c r="AM356" s="25"/>
      <c r="AN356" s="25"/>
      <c r="AO356" s="25"/>
      <c r="AP356" s="25"/>
      <c r="AQ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57"/>
      <c r="AK357" s="25"/>
      <c r="AL357" s="25"/>
      <c r="AM357" s="25"/>
      <c r="AN357" s="25"/>
      <c r="AO357" s="25"/>
      <c r="AP357" s="25"/>
      <c r="AQ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57"/>
      <c r="AK358" s="25"/>
      <c r="AL358" s="25"/>
      <c r="AM358" s="25"/>
      <c r="AN358" s="25"/>
      <c r="AO358" s="25"/>
      <c r="AP358" s="25"/>
      <c r="AQ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57"/>
      <c r="AK359" s="25"/>
      <c r="AL359" s="25"/>
      <c r="AM359" s="25"/>
      <c r="AN359" s="25"/>
      <c r="AO359" s="25"/>
      <c r="AP359" s="25"/>
      <c r="AQ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57"/>
      <c r="AK360" s="25"/>
      <c r="AL360" s="25"/>
      <c r="AM360" s="25"/>
      <c r="AN360" s="25"/>
      <c r="AO360" s="25"/>
      <c r="AP360" s="25"/>
      <c r="AQ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57"/>
      <c r="AK361" s="25"/>
      <c r="AL361" s="25"/>
      <c r="AM361" s="25"/>
      <c r="AN361" s="25"/>
      <c r="AO361" s="25"/>
      <c r="AP361" s="25"/>
      <c r="AQ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57"/>
      <c r="AK362" s="25"/>
      <c r="AL362" s="25"/>
      <c r="AM362" s="25"/>
      <c r="AN362" s="25"/>
      <c r="AO362" s="25"/>
      <c r="AP362" s="25"/>
      <c r="AQ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57"/>
      <c r="AK363" s="25"/>
      <c r="AL363" s="25"/>
      <c r="AM363" s="25"/>
      <c r="AN363" s="25"/>
      <c r="AO363" s="25"/>
      <c r="AP363" s="25"/>
      <c r="AQ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57"/>
      <c r="AK364" s="25"/>
      <c r="AL364" s="25"/>
      <c r="AM364" s="25"/>
      <c r="AN364" s="25"/>
      <c r="AO364" s="25"/>
      <c r="AP364" s="25"/>
      <c r="AQ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57"/>
      <c r="AK365" s="25"/>
      <c r="AL365" s="25"/>
      <c r="AM365" s="25"/>
      <c r="AN365" s="25"/>
      <c r="AO365" s="25"/>
      <c r="AP365" s="25"/>
      <c r="AQ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57"/>
      <c r="AK366" s="25"/>
      <c r="AL366" s="25"/>
      <c r="AM366" s="25"/>
      <c r="AN366" s="25"/>
      <c r="AO366" s="25"/>
      <c r="AP366" s="25"/>
      <c r="AQ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57"/>
      <c r="AK367" s="25"/>
      <c r="AL367" s="25"/>
      <c r="AM367" s="25"/>
      <c r="AN367" s="25"/>
      <c r="AO367" s="25"/>
      <c r="AP367" s="25"/>
      <c r="AQ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57"/>
      <c r="AK368" s="25"/>
      <c r="AL368" s="25"/>
      <c r="AM368" s="25"/>
      <c r="AN368" s="25"/>
      <c r="AO368" s="25"/>
      <c r="AP368" s="25"/>
      <c r="AQ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57"/>
      <c r="AK369" s="25"/>
      <c r="AL369" s="25"/>
      <c r="AM369" s="25"/>
      <c r="AN369" s="25"/>
      <c r="AO369" s="25"/>
      <c r="AP369" s="25"/>
      <c r="AQ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57"/>
      <c r="AK370" s="25"/>
      <c r="AL370" s="25"/>
      <c r="AM370" s="25"/>
      <c r="AN370" s="25"/>
      <c r="AO370" s="25"/>
      <c r="AP370" s="25"/>
      <c r="AQ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57"/>
      <c r="AK371" s="25"/>
      <c r="AL371" s="25"/>
      <c r="AM371" s="25"/>
      <c r="AN371" s="25"/>
      <c r="AO371" s="25"/>
      <c r="AP371" s="25"/>
      <c r="AQ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57"/>
      <c r="AK372" s="25"/>
      <c r="AL372" s="25"/>
      <c r="AM372" s="25"/>
      <c r="AN372" s="25"/>
      <c r="AO372" s="25"/>
      <c r="AP372" s="25"/>
      <c r="AQ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57"/>
      <c r="AK373" s="25"/>
      <c r="AL373" s="25"/>
      <c r="AM373" s="25"/>
      <c r="AN373" s="25"/>
      <c r="AO373" s="25"/>
      <c r="AP373" s="25"/>
      <c r="AQ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57"/>
      <c r="AK374" s="25"/>
      <c r="AL374" s="25"/>
      <c r="AM374" s="25"/>
      <c r="AN374" s="25"/>
      <c r="AO374" s="25"/>
      <c r="AP374" s="25"/>
      <c r="AQ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57"/>
      <c r="AK375" s="25"/>
      <c r="AL375" s="25"/>
      <c r="AM375" s="25"/>
      <c r="AN375" s="25"/>
      <c r="AO375" s="25"/>
      <c r="AP375" s="25"/>
      <c r="AQ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57"/>
      <c r="AK376" s="25"/>
      <c r="AL376" s="25"/>
      <c r="AM376" s="25"/>
      <c r="AN376" s="25"/>
      <c r="AO376" s="25"/>
      <c r="AP376" s="25"/>
      <c r="AQ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57"/>
      <c r="AK377" s="25"/>
      <c r="AL377" s="25"/>
      <c r="AM377" s="25"/>
      <c r="AN377" s="25"/>
      <c r="AO377" s="25"/>
      <c r="AP377" s="25"/>
      <c r="AQ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57"/>
      <c r="AK378" s="25"/>
      <c r="AL378" s="25"/>
      <c r="AM378" s="25"/>
      <c r="AN378" s="25"/>
      <c r="AO378" s="25"/>
      <c r="AP378" s="25"/>
      <c r="AQ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57"/>
      <c r="AK379" s="25"/>
      <c r="AL379" s="25"/>
      <c r="AM379" s="25"/>
      <c r="AN379" s="25"/>
      <c r="AO379" s="25"/>
      <c r="AP379" s="25"/>
      <c r="AQ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57"/>
      <c r="AK380" s="25"/>
      <c r="AL380" s="25"/>
      <c r="AM380" s="25"/>
      <c r="AN380" s="25"/>
      <c r="AO380" s="25"/>
      <c r="AP380" s="25"/>
      <c r="AQ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57"/>
      <c r="AK381" s="25"/>
      <c r="AL381" s="25"/>
      <c r="AM381" s="25"/>
      <c r="AN381" s="25"/>
      <c r="AO381" s="25"/>
      <c r="AP381" s="25"/>
      <c r="AQ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57"/>
      <c r="AK382" s="25"/>
      <c r="AL382" s="25"/>
      <c r="AM382" s="25"/>
      <c r="AN382" s="25"/>
      <c r="AO382" s="25"/>
      <c r="AP382" s="25"/>
      <c r="AQ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57"/>
      <c r="AK383" s="25"/>
      <c r="AL383" s="25"/>
      <c r="AM383" s="25"/>
      <c r="AN383" s="25"/>
      <c r="AO383" s="25"/>
      <c r="AP383" s="25"/>
      <c r="AQ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57"/>
      <c r="AK384" s="25"/>
      <c r="AL384" s="25"/>
      <c r="AM384" s="25"/>
      <c r="AN384" s="25"/>
      <c r="AO384" s="25"/>
      <c r="AP384" s="25"/>
      <c r="AQ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57"/>
      <c r="AK385" s="25"/>
      <c r="AL385" s="25"/>
      <c r="AM385" s="25"/>
      <c r="AN385" s="25"/>
      <c r="AO385" s="25"/>
      <c r="AP385" s="25"/>
      <c r="AQ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57"/>
      <c r="AK386" s="25"/>
      <c r="AL386" s="25"/>
      <c r="AM386" s="25"/>
      <c r="AN386" s="25"/>
      <c r="AO386" s="25"/>
      <c r="AP386" s="25"/>
      <c r="AQ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57"/>
      <c r="AK387" s="25"/>
      <c r="AL387" s="25"/>
      <c r="AM387" s="25"/>
      <c r="AN387" s="25"/>
      <c r="AO387" s="25"/>
      <c r="AP387" s="25"/>
      <c r="AQ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57"/>
      <c r="AK388" s="25"/>
      <c r="AL388" s="25"/>
      <c r="AM388" s="25"/>
      <c r="AN388" s="25"/>
      <c r="AO388" s="25"/>
      <c r="AP388" s="25"/>
      <c r="AQ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57"/>
      <c r="AK389" s="25"/>
      <c r="AL389" s="25"/>
      <c r="AM389" s="25"/>
      <c r="AN389" s="25"/>
      <c r="AO389" s="25"/>
      <c r="AP389" s="25"/>
      <c r="AQ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57"/>
      <c r="AK390" s="25"/>
      <c r="AL390" s="25"/>
      <c r="AM390" s="25"/>
      <c r="AN390" s="25"/>
      <c r="AO390" s="25"/>
      <c r="AP390" s="25"/>
      <c r="AQ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57"/>
      <c r="AK391" s="25"/>
      <c r="AL391" s="25"/>
      <c r="AM391" s="25"/>
      <c r="AN391" s="25"/>
      <c r="AO391" s="25"/>
      <c r="AP391" s="25"/>
      <c r="AQ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57"/>
      <c r="AK392" s="25"/>
      <c r="AL392" s="25"/>
      <c r="AM392" s="25"/>
      <c r="AN392" s="25"/>
      <c r="AO392" s="25"/>
      <c r="AP392" s="25"/>
      <c r="AQ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57"/>
      <c r="AK393" s="25"/>
      <c r="AL393" s="25"/>
      <c r="AM393" s="25"/>
      <c r="AN393" s="25"/>
      <c r="AO393" s="25"/>
      <c r="AP393" s="25"/>
      <c r="AQ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57"/>
      <c r="AK394" s="25"/>
      <c r="AL394" s="25"/>
      <c r="AM394" s="25"/>
      <c r="AN394" s="25"/>
      <c r="AO394" s="25"/>
      <c r="AP394" s="25"/>
      <c r="AQ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57"/>
      <c r="AK395" s="25"/>
      <c r="AL395" s="25"/>
      <c r="AM395" s="25"/>
      <c r="AN395" s="25"/>
      <c r="AO395" s="25"/>
      <c r="AP395" s="25"/>
      <c r="AQ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57"/>
      <c r="AK396" s="25"/>
      <c r="AL396" s="25"/>
      <c r="AM396" s="25"/>
      <c r="AN396" s="25"/>
      <c r="AO396" s="25"/>
      <c r="AP396" s="25"/>
      <c r="AQ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57"/>
      <c r="AK397" s="25"/>
      <c r="AL397" s="25"/>
      <c r="AM397" s="25"/>
      <c r="AN397" s="25"/>
      <c r="AO397" s="25"/>
      <c r="AP397" s="25"/>
      <c r="AQ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57"/>
      <c r="AK398" s="25"/>
      <c r="AL398" s="25"/>
      <c r="AM398" s="25"/>
      <c r="AN398" s="25"/>
      <c r="AO398" s="25"/>
      <c r="AP398" s="25"/>
      <c r="AQ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57"/>
      <c r="AK399" s="25"/>
      <c r="AL399" s="25"/>
      <c r="AM399" s="25"/>
      <c r="AN399" s="25"/>
      <c r="AO399" s="25"/>
      <c r="AP399" s="25"/>
      <c r="AQ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57"/>
      <c r="AK400" s="25"/>
      <c r="AL400" s="25"/>
      <c r="AM400" s="25"/>
      <c r="AN400" s="25"/>
      <c r="AO400" s="25"/>
      <c r="AP400" s="25"/>
      <c r="AQ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57"/>
      <c r="AK401" s="25"/>
      <c r="AL401" s="25"/>
      <c r="AM401" s="25"/>
      <c r="AN401" s="25"/>
      <c r="AO401" s="25"/>
      <c r="AP401" s="25"/>
      <c r="AQ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57"/>
      <c r="AK402" s="25"/>
      <c r="AL402" s="25"/>
      <c r="AM402" s="25"/>
      <c r="AN402" s="25"/>
      <c r="AO402" s="25"/>
      <c r="AP402" s="25"/>
      <c r="AQ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57"/>
      <c r="AK403" s="25"/>
      <c r="AL403" s="25"/>
      <c r="AM403" s="25"/>
      <c r="AN403" s="25"/>
      <c r="AO403" s="25"/>
      <c r="AP403" s="25"/>
      <c r="AQ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57"/>
      <c r="AK404" s="25"/>
      <c r="AL404" s="25"/>
      <c r="AM404" s="25"/>
      <c r="AN404" s="25"/>
      <c r="AO404" s="25"/>
      <c r="AP404" s="25"/>
      <c r="AQ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57"/>
      <c r="AK405" s="25"/>
      <c r="AL405" s="25"/>
      <c r="AM405" s="25"/>
      <c r="AN405" s="25"/>
      <c r="AO405" s="25"/>
      <c r="AP405" s="25"/>
      <c r="AQ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57"/>
      <c r="AK406" s="25"/>
      <c r="AL406" s="25"/>
      <c r="AM406" s="25"/>
      <c r="AN406" s="25"/>
      <c r="AO406" s="25"/>
      <c r="AP406" s="25"/>
      <c r="AQ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57"/>
      <c r="AK407" s="25"/>
      <c r="AL407" s="25"/>
      <c r="AM407" s="25"/>
      <c r="AN407" s="25"/>
      <c r="AO407" s="25"/>
      <c r="AP407" s="25"/>
      <c r="AQ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57"/>
      <c r="AK408" s="25"/>
      <c r="AL408" s="25"/>
      <c r="AM408" s="25"/>
      <c r="AN408" s="25"/>
      <c r="AO408" s="25"/>
      <c r="AP408" s="25"/>
      <c r="AQ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57"/>
      <c r="AK409" s="25"/>
      <c r="AL409" s="25"/>
      <c r="AM409" s="25"/>
      <c r="AN409" s="25"/>
      <c r="AO409" s="25"/>
      <c r="AP409" s="25"/>
      <c r="AQ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57"/>
      <c r="AK410" s="25"/>
      <c r="AL410" s="25"/>
      <c r="AM410" s="25"/>
      <c r="AN410" s="25"/>
      <c r="AO410" s="25"/>
      <c r="AP410" s="25"/>
      <c r="AQ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57"/>
      <c r="AK411" s="25"/>
      <c r="AL411" s="25"/>
      <c r="AM411" s="25"/>
      <c r="AN411" s="25"/>
      <c r="AO411" s="25"/>
      <c r="AP411" s="25"/>
      <c r="AQ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57"/>
      <c r="AK412" s="25"/>
      <c r="AL412" s="25"/>
      <c r="AM412" s="25"/>
      <c r="AN412" s="25"/>
      <c r="AO412" s="25"/>
      <c r="AP412" s="25"/>
      <c r="AQ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57"/>
      <c r="AK413" s="25"/>
      <c r="AL413" s="25"/>
      <c r="AM413" s="25"/>
      <c r="AN413" s="25"/>
      <c r="AO413" s="25"/>
      <c r="AP413" s="25"/>
      <c r="AQ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57"/>
      <c r="AK414" s="25"/>
      <c r="AL414" s="25"/>
      <c r="AM414" s="25"/>
      <c r="AN414" s="25"/>
      <c r="AO414" s="25"/>
      <c r="AP414" s="25"/>
      <c r="AQ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57"/>
      <c r="AK415" s="25"/>
      <c r="AL415" s="25"/>
      <c r="AM415" s="25"/>
      <c r="AN415" s="25"/>
      <c r="AO415" s="25"/>
      <c r="AP415" s="25"/>
      <c r="AQ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57"/>
      <c r="AK416" s="25"/>
      <c r="AL416" s="25"/>
      <c r="AM416" s="25"/>
      <c r="AN416" s="25"/>
      <c r="AO416" s="25"/>
      <c r="AP416" s="25"/>
      <c r="AQ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57"/>
      <c r="AK417" s="25"/>
      <c r="AL417" s="25"/>
      <c r="AM417" s="25"/>
      <c r="AN417" s="25"/>
      <c r="AO417" s="25"/>
      <c r="AP417" s="25"/>
      <c r="AQ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57"/>
      <c r="AK418" s="25"/>
      <c r="AL418" s="25"/>
      <c r="AM418" s="25"/>
      <c r="AN418" s="25"/>
      <c r="AO418" s="25"/>
      <c r="AP418" s="25"/>
      <c r="AQ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57"/>
      <c r="AK419" s="25"/>
      <c r="AL419" s="25"/>
      <c r="AM419" s="25"/>
      <c r="AN419" s="25"/>
      <c r="AO419" s="25"/>
      <c r="AP419" s="25"/>
      <c r="AQ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57"/>
      <c r="AK420" s="25"/>
      <c r="AL420" s="25"/>
      <c r="AM420" s="25"/>
      <c r="AN420" s="25"/>
      <c r="AO420" s="25"/>
      <c r="AP420" s="25"/>
      <c r="AQ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57"/>
      <c r="AK421" s="25"/>
      <c r="AL421" s="25"/>
      <c r="AM421" s="25"/>
      <c r="AN421" s="25"/>
      <c r="AO421" s="25"/>
      <c r="AP421" s="25"/>
      <c r="AQ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57"/>
      <c r="AK422" s="25"/>
      <c r="AL422" s="25"/>
      <c r="AM422" s="25"/>
      <c r="AN422" s="25"/>
      <c r="AO422" s="25"/>
      <c r="AP422" s="25"/>
      <c r="AQ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57"/>
      <c r="AK423" s="25"/>
      <c r="AL423" s="25"/>
      <c r="AM423" s="25"/>
      <c r="AN423" s="25"/>
      <c r="AO423" s="25"/>
      <c r="AP423" s="25"/>
      <c r="AQ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57"/>
      <c r="AK424" s="25"/>
      <c r="AL424" s="25"/>
      <c r="AM424" s="25"/>
      <c r="AN424" s="25"/>
      <c r="AO424" s="25"/>
      <c r="AP424" s="25"/>
      <c r="AQ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57"/>
      <c r="AK425" s="25"/>
      <c r="AL425" s="25"/>
      <c r="AM425" s="25"/>
      <c r="AN425" s="25"/>
      <c r="AO425" s="25"/>
      <c r="AP425" s="25"/>
      <c r="AQ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57"/>
      <c r="AK426" s="25"/>
      <c r="AL426" s="25"/>
      <c r="AM426" s="25"/>
      <c r="AN426" s="25"/>
      <c r="AO426" s="25"/>
      <c r="AP426" s="25"/>
      <c r="AQ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57"/>
      <c r="AK427" s="25"/>
      <c r="AL427" s="25"/>
      <c r="AM427" s="25"/>
      <c r="AN427" s="25"/>
      <c r="AO427" s="25"/>
      <c r="AP427" s="25"/>
      <c r="AQ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57"/>
      <c r="AK428" s="25"/>
      <c r="AL428" s="25"/>
      <c r="AM428" s="25"/>
      <c r="AN428" s="25"/>
      <c r="AO428" s="25"/>
      <c r="AP428" s="25"/>
      <c r="AQ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57"/>
      <c r="AK429" s="25"/>
      <c r="AL429" s="25"/>
      <c r="AM429" s="25"/>
      <c r="AN429" s="25"/>
      <c r="AO429" s="25"/>
      <c r="AP429" s="25"/>
      <c r="AQ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57"/>
      <c r="AK430" s="25"/>
      <c r="AL430" s="25"/>
      <c r="AM430" s="25"/>
      <c r="AN430" s="25"/>
      <c r="AO430" s="25"/>
      <c r="AP430" s="25"/>
      <c r="AQ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57"/>
      <c r="AK431" s="25"/>
      <c r="AL431" s="25"/>
      <c r="AM431" s="25"/>
      <c r="AN431" s="25"/>
      <c r="AO431" s="25"/>
      <c r="AP431" s="25"/>
      <c r="AQ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57"/>
      <c r="AK432" s="25"/>
      <c r="AL432" s="25"/>
      <c r="AM432" s="25"/>
      <c r="AN432" s="25"/>
      <c r="AO432" s="25"/>
      <c r="AP432" s="25"/>
      <c r="AQ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57"/>
      <c r="AK433" s="25"/>
      <c r="AL433" s="25"/>
      <c r="AM433" s="25"/>
      <c r="AN433" s="25"/>
      <c r="AO433" s="25"/>
      <c r="AP433" s="25"/>
      <c r="AQ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57"/>
      <c r="AK434" s="25"/>
      <c r="AL434" s="25"/>
      <c r="AM434" s="25"/>
      <c r="AN434" s="25"/>
      <c r="AO434" s="25"/>
      <c r="AP434" s="25"/>
      <c r="AQ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57"/>
      <c r="AK435" s="25"/>
      <c r="AL435" s="25"/>
      <c r="AM435" s="25"/>
      <c r="AN435" s="25"/>
      <c r="AO435" s="25"/>
      <c r="AP435" s="25"/>
      <c r="AQ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57"/>
      <c r="AK436" s="25"/>
      <c r="AL436" s="25"/>
      <c r="AM436" s="25"/>
      <c r="AN436" s="25"/>
      <c r="AO436" s="25"/>
      <c r="AP436" s="25"/>
      <c r="AQ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57"/>
      <c r="AK437" s="25"/>
      <c r="AL437" s="25"/>
      <c r="AM437" s="25"/>
      <c r="AN437" s="25"/>
      <c r="AO437" s="25"/>
      <c r="AP437" s="25"/>
      <c r="AQ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57"/>
      <c r="AK438" s="25"/>
      <c r="AL438" s="25"/>
      <c r="AM438" s="25"/>
      <c r="AN438" s="25"/>
      <c r="AO438" s="25"/>
      <c r="AP438" s="25"/>
      <c r="AQ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57"/>
      <c r="AK439" s="25"/>
      <c r="AL439" s="25"/>
      <c r="AM439" s="25"/>
      <c r="AN439" s="25"/>
      <c r="AO439" s="25"/>
      <c r="AP439" s="25"/>
      <c r="AQ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57"/>
      <c r="AK440" s="25"/>
      <c r="AL440" s="25"/>
      <c r="AM440" s="25"/>
      <c r="AN440" s="25"/>
      <c r="AO440" s="25"/>
      <c r="AP440" s="25"/>
      <c r="AQ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57"/>
      <c r="AK441" s="25"/>
      <c r="AL441" s="25"/>
      <c r="AM441" s="25"/>
      <c r="AN441" s="25"/>
      <c r="AO441" s="25"/>
      <c r="AP441" s="25"/>
      <c r="AQ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57"/>
      <c r="AK442" s="25"/>
      <c r="AL442" s="25"/>
      <c r="AM442" s="25"/>
      <c r="AN442" s="25"/>
      <c r="AO442" s="25"/>
      <c r="AP442" s="25"/>
      <c r="AQ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57"/>
      <c r="AK443" s="25"/>
      <c r="AL443" s="25"/>
      <c r="AM443" s="25"/>
      <c r="AN443" s="25"/>
      <c r="AO443" s="25"/>
      <c r="AP443" s="25"/>
      <c r="AQ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57"/>
      <c r="AK444" s="25"/>
      <c r="AL444" s="25"/>
      <c r="AM444" s="25"/>
      <c r="AN444" s="25"/>
      <c r="AO444" s="25"/>
      <c r="AP444" s="25"/>
      <c r="AQ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57"/>
      <c r="AK445" s="25"/>
      <c r="AL445" s="25"/>
      <c r="AM445" s="25"/>
      <c r="AN445" s="25"/>
      <c r="AO445" s="25"/>
      <c r="AP445" s="25"/>
      <c r="AQ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57"/>
      <c r="AK446" s="25"/>
      <c r="AL446" s="25"/>
      <c r="AM446" s="25"/>
      <c r="AN446" s="25"/>
      <c r="AO446" s="25"/>
      <c r="AP446" s="25"/>
      <c r="AQ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57"/>
      <c r="AK447" s="25"/>
      <c r="AL447" s="25"/>
      <c r="AM447" s="25"/>
      <c r="AN447" s="25"/>
      <c r="AO447" s="25"/>
      <c r="AP447" s="25"/>
      <c r="AQ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57"/>
      <c r="AK448" s="25"/>
      <c r="AL448" s="25"/>
      <c r="AM448" s="25"/>
      <c r="AN448" s="25"/>
      <c r="AO448" s="25"/>
      <c r="AP448" s="25"/>
      <c r="AQ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57"/>
      <c r="AK449" s="25"/>
      <c r="AL449" s="25"/>
      <c r="AM449" s="25"/>
      <c r="AN449" s="25"/>
      <c r="AO449" s="25"/>
      <c r="AP449" s="25"/>
      <c r="AQ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57"/>
      <c r="AK450" s="25"/>
      <c r="AL450" s="25"/>
      <c r="AM450" s="25"/>
      <c r="AN450" s="25"/>
      <c r="AO450" s="25"/>
      <c r="AP450" s="25"/>
      <c r="AQ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57"/>
      <c r="AK451" s="25"/>
      <c r="AL451" s="25"/>
      <c r="AM451" s="25"/>
      <c r="AN451" s="25"/>
      <c r="AO451" s="25"/>
      <c r="AP451" s="25"/>
      <c r="AQ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57"/>
      <c r="AK452" s="25"/>
      <c r="AL452" s="25"/>
      <c r="AM452" s="25"/>
      <c r="AN452" s="25"/>
      <c r="AO452" s="25"/>
      <c r="AP452" s="25"/>
      <c r="AQ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57"/>
      <c r="AK453" s="25"/>
      <c r="AL453" s="25"/>
      <c r="AM453" s="25"/>
      <c r="AN453" s="25"/>
      <c r="AO453" s="25"/>
      <c r="AP453" s="25"/>
      <c r="AQ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57"/>
      <c r="AK454" s="25"/>
      <c r="AL454" s="25"/>
      <c r="AM454" s="25"/>
      <c r="AN454" s="25"/>
      <c r="AO454" s="25"/>
      <c r="AP454" s="25"/>
      <c r="AQ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57"/>
      <c r="AK455" s="25"/>
      <c r="AL455" s="25"/>
      <c r="AM455" s="25"/>
      <c r="AN455" s="25"/>
      <c r="AO455" s="25"/>
      <c r="AP455" s="25"/>
      <c r="AQ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57"/>
      <c r="AK456" s="25"/>
      <c r="AL456" s="25"/>
      <c r="AM456" s="25"/>
      <c r="AN456" s="25"/>
      <c r="AO456" s="25"/>
      <c r="AP456" s="25"/>
      <c r="AQ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57"/>
      <c r="AK457" s="25"/>
      <c r="AL457" s="25"/>
      <c r="AM457" s="25"/>
      <c r="AN457" s="25"/>
      <c r="AO457" s="25"/>
      <c r="AP457" s="25"/>
      <c r="AQ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57"/>
      <c r="AK458" s="25"/>
      <c r="AL458" s="25"/>
      <c r="AM458" s="25"/>
      <c r="AN458" s="25"/>
      <c r="AO458" s="25"/>
      <c r="AP458" s="25"/>
      <c r="AQ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57"/>
      <c r="AK459" s="25"/>
      <c r="AL459" s="25"/>
      <c r="AM459" s="25"/>
      <c r="AN459" s="25"/>
      <c r="AO459" s="25"/>
      <c r="AP459" s="25"/>
      <c r="AQ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57"/>
      <c r="AK460" s="25"/>
      <c r="AL460" s="25"/>
      <c r="AM460" s="25"/>
      <c r="AN460" s="25"/>
      <c r="AO460" s="25"/>
      <c r="AP460" s="25"/>
      <c r="AQ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57"/>
      <c r="AK461" s="25"/>
      <c r="AL461" s="25"/>
      <c r="AM461" s="25"/>
      <c r="AN461" s="25"/>
      <c r="AO461" s="25"/>
      <c r="AP461" s="25"/>
      <c r="AQ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57"/>
      <c r="AK462" s="25"/>
      <c r="AL462" s="25"/>
      <c r="AM462" s="25"/>
      <c r="AN462" s="25"/>
      <c r="AO462" s="25"/>
      <c r="AP462" s="25"/>
      <c r="AQ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57"/>
      <c r="AK463" s="25"/>
      <c r="AL463" s="25"/>
      <c r="AM463" s="25"/>
      <c r="AN463" s="25"/>
      <c r="AO463" s="25"/>
      <c r="AP463" s="25"/>
      <c r="AQ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57"/>
      <c r="AK464" s="25"/>
      <c r="AL464" s="25"/>
      <c r="AM464" s="25"/>
      <c r="AN464" s="25"/>
      <c r="AO464" s="25"/>
      <c r="AP464" s="25"/>
      <c r="AQ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57"/>
      <c r="AK465" s="25"/>
      <c r="AL465" s="25"/>
      <c r="AM465" s="25"/>
      <c r="AN465" s="25"/>
      <c r="AO465" s="25"/>
      <c r="AP465" s="25"/>
      <c r="AQ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57"/>
      <c r="AK466" s="25"/>
      <c r="AL466" s="25"/>
      <c r="AM466" s="25"/>
      <c r="AN466" s="25"/>
      <c r="AO466" s="25"/>
      <c r="AP466" s="25"/>
      <c r="AQ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57"/>
      <c r="AK467" s="25"/>
      <c r="AL467" s="25"/>
      <c r="AM467" s="25"/>
      <c r="AN467" s="25"/>
      <c r="AO467" s="25"/>
      <c r="AP467" s="25"/>
      <c r="AQ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57"/>
      <c r="AK468" s="25"/>
      <c r="AL468" s="25"/>
      <c r="AM468" s="25"/>
      <c r="AN468" s="25"/>
      <c r="AO468" s="25"/>
      <c r="AP468" s="25"/>
      <c r="AQ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57"/>
      <c r="AK469" s="25"/>
      <c r="AL469" s="25"/>
      <c r="AM469" s="25"/>
      <c r="AN469" s="25"/>
      <c r="AO469" s="25"/>
      <c r="AP469" s="25"/>
      <c r="AQ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57"/>
      <c r="AK470" s="25"/>
      <c r="AL470" s="25"/>
      <c r="AM470" s="25"/>
      <c r="AN470" s="25"/>
      <c r="AO470" s="25"/>
      <c r="AP470" s="25"/>
      <c r="AQ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57"/>
      <c r="AK471" s="25"/>
      <c r="AL471" s="25"/>
      <c r="AM471" s="25"/>
      <c r="AN471" s="25"/>
      <c r="AO471" s="25"/>
      <c r="AP471" s="25"/>
      <c r="AQ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57"/>
      <c r="AK472" s="25"/>
      <c r="AL472" s="25"/>
      <c r="AM472" s="25"/>
      <c r="AN472" s="25"/>
      <c r="AO472" s="25"/>
      <c r="AP472" s="25"/>
      <c r="AQ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57"/>
      <c r="AK473" s="25"/>
      <c r="AL473" s="25"/>
      <c r="AM473" s="25"/>
      <c r="AN473" s="25"/>
      <c r="AO473" s="25"/>
      <c r="AP473" s="25"/>
      <c r="AQ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57"/>
      <c r="AK474" s="25"/>
      <c r="AL474" s="25"/>
      <c r="AM474" s="25"/>
      <c r="AN474" s="25"/>
      <c r="AO474" s="25"/>
      <c r="AP474" s="25"/>
      <c r="AQ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57"/>
      <c r="AK475" s="25"/>
      <c r="AL475" s="25"/>
      <c r="AM475" s="25"/>
      <c r="AN475" s="25"/>
      <c r="AO475" s="25"/>
      <c r="AP475" s="25"/>
      <c r="AQ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57"/>
      <c r="AK476" s="25"/>
      <c r="AL476" s="25"/>
      <c r="AM476" s="25"/>
      <c r="AN476" s="25"/>
      <c r="AO476" s="25"/>
      <c r="AP476" s="25"/>
      <c r="AQ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57"/>
      <c r="AK477" s="25"/>
      <c r="AL477" s="25"/>
      <c r="AM477" s="25"/>
      <c r="AN477" s="25"/>
      <c r="AO477" s="25"/>
      <c r="AP477" s="25"/>
      <c r="AQ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57"/>
      <c r="AK478" s="25"/>
      <c r="AL478" s="25"/>
      <c r="AM478" s="25"/>
      <c r="AN478" s="25"/>
      <c r="AO478" s="25"/>
      <c r="AP478" s="25"/>
      <c r="AQ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57"/>
      <c r="AK479" s="25"/>
      <c r="AL479" s="25"/>
      <c r="AM479" s="25"/>
      <c r="AN479" s="25"/>
      <c r="AO479" s="25"/>
      <c r="AP479" s="25"/>
      <c r="AQ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57"/>
      <c r="AK480" s="25"/>
      <c r="AL480" s="25"/>
      <c r="AM480" s="25"/>
      <c r="AN480" s="25"/>
      <c r="AO480" s="25"/>
      <c r="AP480" s="25"/>
      <c r="AQ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57"/>
      <c r="AK481" s="25"/>
      <c r="AL481" s="25"/>
      <c r="AM481" s="25"/>
      <c r="AN481" s="25"/>
      <c r="AO481" s="25"/>
      <c r="AP481" s="25"/>
      <c r="AQ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57"/>
      <c r="AK482" s="25"/>
      <c r="AL482" s="25"/>
      <c r="AM482" s="25"/>
      <c r="AN482" s="25"/>
      <c r="AO482" s="25"/>
      <c r="AP482" s="25"/>
      <c r="AQ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57"/>
      <c r="AK483" s="25"/>
      <c r="AL483" s="25"/>
      <c r="AM483" s="25"/>
      <c r="AN483" s="25"/>
      <c r="AO483" s="25"/>
      <c r="AP483" s="25"/>
      <c r="AQ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57"/>
      <c r="AK484" s="25"/>
      <c r="AL484" s="25"/>
      <c r="AM484" s="25"/>
      <c r="AN484" s="25"/>
      <c r="AO484" s="25"/>
      <c r="AP484" s="25"/>
      <c r="AQ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57"/>
      <c r="AK485" s="25"/>
      <c r="AL485" s="25"/>
      <c r="AM485" s="25"/>
      <c r="AN485" s="25"/>
      <c r="AO485" s="25"/>
      <c r="AP485" s="25"/>
      <c r="AQ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57"/>
      <c r="AK486" s="25"/>
      <c r="AL486" s="25"/>
      <c r="AM486" s="25"/>
      <c r="AN486" s="25"/>
      <c r="AO486" s="25"/>
      <c r="AP486" s="25"/>
      <c r="AQ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57"/>
      <c r="AK487" s="25"/>
      <c r="AL487" s="25"/>
      <c r="AM487" s="25"/>
      <c r="AN487" s="25"/>
      <c r="AO487" s="25"/>
      <c r="AP487" s="25"/>
      <c r="AQ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57"/>
      <c r="AK488" s="25"/>
      <c r="AL488" s="25"/>
      <c r="AM488" s="25"/>
      <c r="AN488" s="25"/>
      <c r="AO488" s="25"/>
      <c r="AP488" s="25"/>
      <c r="AQ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57"/>
      <c r="AK489" s="25"/>
      <c r="AL489" s="25"/>
      <c r="AM489" s="25"/>
      <c r="AN489" s="25"/>
      <c r="AO489" s="25"/>
      <c r="AP489" s="25"/>
      <c r="AQ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57"/>
      <c r="AK490" s="25"/>
      <c r="AL490" s="25"/>
      <c r="AM490" s="25"/>
      <c r="AN490" s="25"/>
      <c r="AO490" s="25"/>
      <c r="AP490" s="25"/>
      <c r="AQ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57"/>
      <c r="AK491" s="25"/>
      <c r="AL491" s="25"/>
      <c r="AM491" s="25"/>
      <c r="AN491" s="25"/>
      <c r="AO491" s="25"/>
      <c r="AP491" s="25"/>
      <c r="AQ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57"/>
      <c r="AK492" s="25"/>
      <c r="AL492" s="25"/>
      <c r="AM492" s="25"/>
      <c r="AN492" s="25"/>
      <c r="AO492" s="25"/>
      <c r="AP492" s="25"/>
      <c r="AQ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57"/>
      <c r="AK493" s="25"/>
      <c r="AL493" s="25"/>
      <c r="AM493" s="25"/>
      <c r="AN493" s="25"/>
      <c r="AO493" s="25"/>
      <c r="AP493" s="25"/>
      <c r="AQ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57"/>
      <c r="AK494" s="25"/>
      <c r="AL494" s="25"/>
      <c r="AM494" s="25"/>
      <c r="AN494" s="25"/>
      <c r="AO494" s="25"/>
      <c r="AP494" s="25"/>
      <c r="AQ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57"/>
      <c r="AK495" s="25"/>
      <c r="AL495" s="25"/>
      <c r="AM495" s="25"/>
      <c r="AN495" s="25"/>
      <c r="AO495" s="25"/>
      <c r="AP495" s="25"/>
      <c r="AQ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57"/>
      <c r="AK496" s="25"/>
      <c r="AL496" s="25"/>
      <c r="AM496" s="25"/>
      <c r="AN496" s="25"/>
      <c r="AO496" s="25"/>
      <c r="AP496" s="25"/>
      <c r="AQ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57"/>
      <c r="AK497" s="25"/>
      <c r="AL497" s="25"/>
      <c r="AM497" s="25"/>
      <c r="AN497" s="25"/>
      <c r="AO497" s="25"/>
      <c r="AP497" s="25"/>
      <c r="AQ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57"/>
      <c r="AK498" s="25"/>
      <c r="AL498" s="25"/>
      <c r="AM498" s="25"/>
      <c r="AN498" s="25"/>
      <c r="AO498" s="25"/>
      <c r="AP498" s="25"/>
      <c r="AQ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57"/>
      <c r="AK499" s="25"/>
      <c r="AL499" s="25"/>
      <c r="AM499" s="25"/>
      <c r="AN499" s="25"/>
      <c r="AO499" s="25"/>
      <c r="AP499" s="25"/>
      <c r="AQ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57"/>
      <c r="AK500" s="25"/>
      <c r="AL500" s="25"/>
      <c r="AM500" s="25"/>
      <c r="AN500" s="25"/>
      <c r="AO500" s="25"/>
      <c r="AP500" s="25"/>
      <c r="AQ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57"/>
      <c r="AK501" s="25"/>
      <c r="AL501" s="25"/>
      <c r="AM501" s="25"/>
      <c r="AN501" s="25"/>
      <c r="AO501" s="25"/>
      <c r="AP501" s="25"/>
      <c r="AQ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57"/>
      <c r="AK502" s="25"/>
      <c r="AL502" s="25"/>
      <c r="AM502" s="25"/>
      <c r="AN502" s="25"/>
      <c r="AO502" s="25"/>
      <c r="AP502" s="25"/>
      <c r="AQ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57"/>
      <c r="AK503" s="25"/>
      <c r="AL503" s="25"/>
      <c r="AM503" s="25"/>
      <c r="AN503" s="25"/>
      <c r="AO503" s="25"/>
      <c r="AP503" s="25"/>
      <c r="AQ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57"/>
      <c r="AK504" s="25"/>
      <c r="AL504" s="25"/>
      <c r="AM504" s="25"/>
      <c r="AN504" s="25"/>
      <c r="AO504" s="25"/>
      <c r="AP504" s="25"/>
      <c r="AQ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57"/>
      <c r="AK505" s="25"/>
      <c r="AL505" s="25"/>
      <c r="AM505" s="25"/>
      <c r="AN505" s="25"/>
      <c r="AO505" s="25"/>
      <c r="AP505" s="25"/>
      <c r="AQ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57"/>
      <c r="AK506" s="25"/>
      <c r="AL506" s="25"/>
      <c r="AM506" s="25"/>
      <c r="AN506" s="25"/>
      <c r="AO506" s="25"/>
      <c r="AP506" s="25"/>
      <c r="AQ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57"/>
      <c r="AK507" s="25"/>
      <c r="AL507" s="25"/>
      <c r="AM507" s="25"/>
      <c r="AN507" s="25"/>
      <c r="AO507" s="25"/>
      <c r="AP507" s="25"/>
      <c r="AQ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57"/>
      <c r="AK508" s="25"/>
      <c r="AL508" s="25"/>
      <c r="AM508" s="25"/>
      <c r="AN508" s="25"/>
      <c r="AO508" s="25"/>
      <c r="AP508" s="25"/>
      <c r="AQ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57"/>
      <c r="AK509" s="25"/>
      <c r="AL509" s="25"/>
      <c r="AM509" s="25"/>
      <c r="AN509" s="25"/>
      <c r="AO509" s="25"/>
      <c r="AP509" s="25"/>
      <c r="AQ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57"/>
      <c r="AK510" s="25"/>
      <c r="AL510" s="25"/>
      <c r="AM510" s="25"/>
      <c r="AN510" s="25"/>
      <c r="AO510" s="25"/>
      <c r="AP510" s="25"/>
      <c r="AQ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57"/>
      <c r="AK511" s="25"/>
      <c r="AL511" s="25"/>
      <c r="AM511" s="25"/>
      <c r="AN511" s="25"/>
      <c r="AO511" s="25"/>
      <c r="AP511" s="25"/>
      <c r="AQ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57"/>
      <c r="AK512" s="25"/>
      <c r="AL512" s="25"/>
      <c r="AM512" s="25"/>
      <c r="AN512" s="25"/>
      <c r="AO512" s="25"/>
      <c r="AP512" s="25"/>
      <c r="AQ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57"/>
      <c r="AK513" s="25"/>
      <c r="AL513" s="25"/>
      <c r="AM513" s="25"/>
      <c r="AN513" s="25"/>
      <c r="AO513" s="25"/>
      <c r="AP513" s="25"/>
      <c r="AQ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57"/>
      <c r="AK514" s="25"/>
      <c r="AL514" s="25"/>
      <c r="AM514" s="25"/>
      <c r="AN514" s="25"/>
      <c r="AO514" s="25"/>
      <c r="AP514" s="25"/>
      <c r="AQ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57"/>
      <c r="AK515" s="25"/>
      <c r="AL515" s="25"/>
      <c r="AM515" s="25"/>
      <c r="AN515" s="25"/>
      <c r="AO515" s="25"/>
      <c r="AP515" s="25"/>
      <c r="AQ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57"/>
      <c r="AK516" s="25"/>
      <c r="AL516" s="25"/>
      <c r="AM516" s="25"/>
      <c r="AN516" s="25"/>
      <c r="AO516" s="25"/>
      <c r="AP516" s="25"/>
      <c r="AQ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57"/>
      <c r="AK517" s="25"/>
      <c r="AL517" s="25"/>
      <c r="AM517" s="25"/>
      <c r="AN517" s="25"/>
      <c r="AO517" s="25"/>
      <c r="AP517" s="25"/>
      <c r="AQ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57"/>
      <c r="AK518" s="25"/>
      <c r="AL518" s="25"/>
      <c r="AM518" s="25"/>
      <c r="AN518" s="25"/>
      <c r="AO518" s="25"/>
      <c r="AP518" s="25"/>
      <c r="AQ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57"/>
      <c r="AK519" s="25"/>
      <c r="AL519" s="25"/>
      <c r="AM519" s="25"/>
      <c r="AN519" s="25"/>
      <c r="AO519" s="25"/>
      <c r="AP519" s="25"/>
      <c r="AQ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57"/>
      <c r="AK520" s="25"/>
      <c r="AL520" s="25"/>
      <c r="AM520" s="25"/>
      <c r="AN520" s="25"/>
      <c r="AO520" s="25"/>
      <c r="AP520" s="25"/>
      <c r="AQ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57"/>
      <c r="AK521" s="25"/>
      <c r="AL521" s="25"/>
      <c r="AM521" s="25"/>
      <c r="AN521" s="25"/>
      <c r="AO521" s="25"/>
      <c r="AP521" s="25"/>
      <c r="AQ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57"/>
      <c r="AK522" s="25"/>
      <c r="AL522" s="25"/>
      <c r="AM522" s="25"/>
      <c r="AN522" s="25"/>
      <c r="AO522" s="25"/>
      <c r="AP522" s="25"/>
      <c r="AQ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57"/>
      <c r="AK523" s="25"/>
      <c r="AL523" s="25"/>
      <c r="AM523" s="25"/>
      <c r="AN523" s="25"/>
      <c r="AO523" s="25"/>
      <c r="AP523" s="25"/>
      <c r="AQ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57"/>
      <c r="AK524" s="25"/>
      <c r="AL524" s="25"/>
      <c r="AM524" s="25"/>
      <c r="AN524" s="25"/>
      <c r="AO524" s="25"/>
      <c r="AP524" s="25"/>
      <c r="AQ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57"/>
      <c r="AK525" s="25"/>
      <c r="AL525" s="25"/>
      <c r="AM525" s="25"/>
      <c r="AN525" s="25"/>
      <c r="AO525" s="25"/>
      <c r="AP525" s="25"/>
      <c r="AQ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57"/>
      <c r="AK526" s="25"/>
      <c r="AL526" s="25"/>
      <c r="AM526" s="25"/>
      <c r="AN526" s="25"/>
      <c r="AO526" s="25"/>
      <c r="AP526" s="25"/>
      <c r="AQ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57"/>
      <c r="AK527" s="25"/>
      <c r="AL527" s="25"/>
      <c r="AM527" s="25"/>
      <c r="AN527" s="25"/>
      <c r="AO527" s="25"/>
      <c r="AP527" s="25"/>
      <c r="AQ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57"/>
      <c r="AK528" s="25"/>
      <c r="AL528" s="25"/>
      <c r="AM528" s="25"/>
      <c r="AN528" s="25"/>
      <c r="AO528" s="25"/>
      <c r="AP528" s="25"/>
      <c r="AQ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57"/>
      <c r="AK529" s="25"/>
      <c r="AL529" s="25"/>
      <c r="AM529" s="25"/>
      <c r="AN529" s="25"/>
      <c r="AO529" s="25"/>
      <c r="AP529" s="25"/>
      <c r="AQ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57"/>
      <c r="AK530" s="25"/>
      <c r="AL530" s="25"/>
      <c r="AM530" s="25"/>
      <c r="AN530" s="25"/>
      <c r="AO530" s="25"/>
      <c r="AP530" s="25"/>
      <c r="AQ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57"/>
      <c r="AK531" s="25"/>
      <c r="AL531" s="25"/>
      <c r="AM531" s="25"/>
      <c r="AN531" s="25"/>
      <c r="AO531" s="25"/>
      <c r="AP531" s="25"/>
      <c r="AQ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57"/>
      <c r="AK532" s="25"/>
      <c r="AL532" s="25"/>
      <c r="AM532" s="25"/>
      <c r="AN532" s="25"/>
      <c r="AO532" s="25"/>
      <c r="AP532" s="25"/>
      <c r="AQ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57"/>
      <c r="AK533" s="25"/>
      <c r="AL533" s="25"/>
      <c r="AM533" s="25"/>
      <c r="AN533" s="25"/>
      <c r="AO533" s="25"/>
      <c r="AP533" s="25"/>
      <c r="AQ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57"/>
      <c r="AK534" s="25"/>
      <c r="AL534" s="25"/>
      <c r="AM534" s="25"/>
      <c r="AN534" s="25"/>
      <c r="AO534" s="25"/>
      <c r="AP534" s="25"/>
      <c r="AQ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57"/>
      <c r="AK535" s="25"/>
      <c r="AL535" s="25"/>
      <c r="AM535" s="25"/>
      <c r="AN535" s="25"/>
      <c r="AO535" s="25"/>
      <c r="AP535" s="25"/>
      <c r="AQ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57"/>
      <c r="AK536" s="25"/>
      <c r="AL536" s="25"/>
      <c r="AM536" s="25"/>
      <c r="AN536" s="25"/>
      <c r="AO536" s="25"/>
      <c r="AP536" s="25"/>
      <c r="AQ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57"/>
      <c r="AK537" s="25"/>
      <c r="AL537" s="25"/>
      <c r="AM537" s="25"/>
      <c r="AN537" s="25"/>
      <c r="AO537" s="25"/>
      <c r="AP537" s="25"/>
      <c r="AQ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57"/>
      <c r="AK538" s="25"/>
      <c r="AL538" s="25"/>
      <c r="AM538" s="25"/>
      <c r="AN538" s="25"/>
      <c r="AO538" s="25"/>
      <c r="AP538" s="25"/>
      <c r="AQ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57"/>
      <c r="AK539" s="25"/>
      <c r="AL539" s="25"/>
      <c r="AM539" s="25"/>
      <c r="AN539" s="25"/>
      <c r="AO539" s="25"/>
      <c r="AP539" s="25"/>
      <c r="AQ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57"/>
      <c r="AK540" s="25"/>
      <c r="AL540" s="25"/>
      <c r="AM540" s="25"/>
      <c r="AN540" s="25"/>
      <c r="AO540" s="25"/>
      <c r="AP540" s="25"/>
      <c r="AQ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57"/>
      <c r="AK541" s="25"/>
      <c r="AL541" s="25"/>
      <c r="AM541" s="25"/>
      <c r="AN541" s="25"/>
      <c r="AO541" s="25"/>
      <c r="AP541" s="25"/>
      <c r="AQ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57"/>
      <c r="AK542" s="25"/>
      <c r="AL542" s="25"/>
      <c r="AM542" s="25"/>
      <c r="AN542" s="25"/>
      <c r="AO542" s="25"/>
      <c r="AP542" s="25"/>
      <c r="AQ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57"/>
      <c r="AK543" s="25"/>
      <c r="AL543" s="25"/>
      <c r="AM543" s="25"/>
      <c r="AN543" s="25"/>
      <c r="AO543" s="25"/>
      <c r="AP543" s="25"/>
      <c r="AQ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57"/>
      <c r="AK544" s="25"/>
      <c r="AL544" s="25"/>
      <c r="AM544" s="25"/>
      <c r="AN544" s="25"/>
      <c r="AO544" s="25"/>
      <c r="AP544" s="25"/>
      <c r="AQ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57"/>
      <c r="AK545" s="25"/>
      <c r="AL545" s="25"/>
      <c r="AM545" s="25"/>
      <c r="AN545" s="25"/>
      <c r="AO545" s="25"/>
      <c r="AP545" s="25"/>
      <c r="AQ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57"/>
      <c r="AK546" s="25"/>
      <c r="AL546" s="25"/>
      <c r="AM546" s="25"/>
      <c r="AN546" s="25"/>
      <c r="AO546" s="25"/>
      <c r="AP546" s="25"/>
      <c r="AQ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57"/>
      <c r="AK547" s="25"/>
      <c r="AL547" s="25"/>
      <c r="AM547" s="25"/>
      <c r="AN547" s="25"/>
      <c r="AO547" s="25"/>
      <c r="AP547" s="25"/>
      <c r="AQ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57"/>
      <c r="AK548" s="25"/>
      <c r="AL548" s="25"/>
      <c r="AM548" s="25"/>
      <c r="AN548" s="25"/>
      <c r="AO548" s="25"/>
      <c r="AP548" s="25"/>
      <c r="AQ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57"/>
      <c r="AK549" s="25"/>
      <c r="AL549" s="25"/>
      <c r="AM549" s="25"/>
      <c r="AN549" s="25"/>
      <c r="AO549" s="25"/>
      <c r="AP549" s="25"/>
      <c r="AQ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57"/>
      <c r="AK550" s="25"/>
      <c r="AL550" s="25"/>
      <c r="AM550" s="25"/>
      <c r="AN550" s="25"/>
      <c r="AO550" s="25"/>
      <c r="AP550" s="25"/>
      <c r="AQ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57"/>
      <c r="AK551" s="25"/>
      <c r="AL551" s="25"/>
      <c r="AM551" s="25"/>
      <c r="AN551" s="25"/>
      <c r="AO551" s="25"/>
      <c r="AP551" s="25"/>
      <c r="AQ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57"/>
      <c r="AK552" s="25"/>
      <c r="AL552" s="25"/>
      <c r="AM552" s="25"/>
      <c r="AN552" s="25"/>
      <c r="AO552" s="25"/>
      <c r="AP552" s="25"/>
      <c r="AQ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57"/>
      <c r="AK553" s="25"/>
      <c r="AL553" s="25"/>
      <c r="AM553" s="25"/>
      <c r="AN553" s="25"/>
      <c r="AO553" s="25"/>
      <c r="AP553" s="25"/>
      <c r="AQ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57"/>
      <c r="AK554" s="25"/>
      <c r="AL554" s="25"/>
      <c r="AM554" s="25"/>
      <c r="AN554" s="25"/>
      <c r="AO554" s="25"/>
      <c r="AP554" s="25"/>
      <c r="AQ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57"/>
      <c r="AK555" s="25"/>
      <c r="AL555" s="25"/>
      <c r="AM555" s="25"/>
      <c r="AN555" s="25"/>
      <c r="AO555" s="25"/>
      <c r="AP555" s="25"/>
      <c r="AQ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57"/>
      <c r="AK556" s="25"/>
      <c r="AL556" s="25"/>
      <c r="AM556" s="25"/>
      <c r="AN556" s="25"/>
      <c r="AO556" s="25"/>
      <c r="AP556" s="25"/>
      <c r="AQ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57"/>
      <c r="AK557" s="25"/>
      <c r="AL557" s="25"/>
      <c r="AM557" s="25"/>
      <c r="AN557" s="25"/>
      <c r="AO557" s="25"/>
      <c r="AP557" s="25"/>
      <c r="AQ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57"/>
      <c r="AK558" s="25"/>
      <c r="AL558" s="25"/>
      <c r="AM558" s="25"/>
      <c r="AN558" s="25"/>
      <c r="AO558" s="25"/>
      <c r="AP558" s="25"/>
      <c r="AQ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57"/>
      <c r="AK559" s="25"/>
      <c r="AL559" s="25"/>
      <c r="AM559" s="25"/>
      <c r="AN559" s="25"/>
      <c r="AO559" s="25"/>
      <c r="AP559" s="25"/>
      <c r="AQ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57"/>
      <c r="AK560" s="25"/>
      <c r="AL560" s="25"/>
      <c r="AM560" s="25"/>
      <c r="AN560" s="25"/>
      <c r="AO560" s="25"/>
      <c r="AP560" s="25"/>
      <c r="AQ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57"/>
      <c r="AK561" s="25"/>
      <c r="AL561" s="25"/>
      <c r="AM561" s="25"/>
      <c r="AN561" s="25"/>
      <c r="AO561" s="25"/>
      <c r="AP561" s="25"/>
      <c r="AQ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57"/>
      <c r="AK562" s="25"/>
      <c r="AL562" s="25"/>
      <c r="AM562" s="25"/>
      <c r="AN562" s="25"/>
      <c r="AO562" s="25"/>
      <c r="AP562" s="25"/>
      <c r="AQ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57"/>
      <c r="AK563" s="25"/>
      <c r="AL563" s="25"/>
      <c r="AM563" s="25"/>
      <c r="AN563" s="25"/>
      <c r="AO563" s="25"/>
      <c r="AP563" s="25"/>
      <c r="AQ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57"/>
      <c r="AK564" s="25"/>
      <c r="AL564" s="25"/>
      <c r="AM564" s="25"/>
      <c r="AN564" s="25"/>
      <c r="AO564" s="25"/>
      <c r="AP564" s="25"/>
      <c r="AQ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57"/>
      <c r="AK565" s="25"/>
      <c r="AL565" s="25"/>
      <c r="AM565" s="25"/>
      <c r="AN565" s="25"/>
      <c r="AO565" s="25"/>
      <c r="AP565" s="25"/>
      <c r="AQ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57"/>
      <c r="AK566" s="25"/>
      <c r="AL566" s="25"/>
      <c r="AM566" s="25"/>
      <c r="AN566" s="25"/>
      <c r="AO566" s="25"/>
      <c r="AP566" s="25"/>
      <c r="AQ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57"/>
      <c r="AK567" s="25"/>
      <c r="AL567" s="25"/>
      <c r="AM567" s="25"/>
      <c r="AN567" s="25"/>
      <c r="AO567" s="25"/>
      <c r="AP567" s="25"/>
      <c r="AQ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57"/>
      <c r="AK568" s="25"/>
      <c r="AL568" s="25"/>
      <c r="AM568" s="25"/>
      <c r="AN568" s="25"/>
      <c r="AO568" s="25"/>
      <c r="AP568" s="25"/>
      <c r="AQ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57"/>
      <c r="AK569" s="25"/>
      <c r="AL569" s="25"/>
      <c r="AM569" s="25"/>
      <c r="AN569" s="25"/>
      <c r="AO569" s="25"/>
      <c r="AP569" s="25"/>
      <c r="AQ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57"/>
      <c r="AK570" s="25"/>
      <c r="AL570" s="25"/>
      <c r="AM570" s="25"/>
      <c r="AN570" s="25"/>
      <c r="AO570" s="25"/>
      <c r="AP570" s="25"/>
      <c r="AQ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57"/>
      <c r="AK571" s="25"/>
      <c r="AL571" s="25"/>
      <c r="AM571" s="25"/>
      <c r="AN571" s="25"/>
      <c r="AO571" s="25"/>
      <c r="AP571" s="25"/>
      <c r="AQ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57"/>
      <c r="AK572" s="25"/>
      <c r="AL572" s="25"/>
      <c r="AM572" s="25"/>
      <c r="AN572" s="25"/>
      <c r="AO572" s="25"/>
      <c r="AP572" s="25"/>
      <c r="AQ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57"/>
      <c r="AK573" s="25"/>
      <c r="AL573" s="25"/>
      <c r="AM573" s="25"/>
      <c r="AN573" s="25"/>
      <c r="AO573" s="25"/>
      <c r="AP573" s="25"/>
      <c r="AQ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57"/>
      <c r="AK574" s="25"/>
      <c r="AL574" s="25"/>
      <c r="AM574" s="25"/>
      <c r="AN574" s="25"/>
      <c r="AO574" s="25"/>
      <c r="AP574" s="25"/>
      <c r="AQ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57"/>
      <c r="AK575" s="25"/>
      <c r="AL575" s="25"/>
      <c r="AM575" s="25"/>
      <c r="AN575" s="25"/>
      <c r="AO575" s="25"/>
      <c r="AP575" s="25"/>
      <c r="AQ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57"/>
      <c r="AK576" s="25"/>
      <c r="AL576" s="25"/>
      <c r="AM576" s="25"/>
      <c r="AN576" s="25"/>
      <c r="AO576" s="25"/>
      <c r="AP576" s="25"/>
      <c r="AQ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57"/>
      <c r="AK577" s="25"/>
      <c r="AL577" s="25"/>
      <c r="AM577" s="25"/>
      <c r="AN577" s="25"/>
      <c r="AO577" s="25"/>
      <c r="AP577" s="25"/>
      <c r="AQ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57"/>
      <c r="AK578" s="25"/>
      <c r="AL578" s="25"/>
      <c r="AM578" s="25"/>
      <c r="AN578" s="25"/>
      <c r="AO578" s="25"/>
      <c r="AP578" s="25"/>
      <c r="AQ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57"/>
      <c r="AK579" s="25"/>
      <c r="AL579" s="25"/>
      <c r="AM579" s="25"/>
      <c r="AN579" s="25"/>
      <c r="AO579" s="25"/>
      <c r="AP579" s="25"/>
      <c r="AQ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57"/>
      <c r="AK580" s="25"/>
      <c r="AL580" s="25"/>
      <c r="AM580" s="25"/>
      <c r="AN580" s="25"/>
      <c r="AO580" s="25"/>
      <c r="AP580" s="25"/>
      <c r="AQ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57"/>
      <c r="AK581" s="25"/>
      <c r="AL581" s="25"/>
      <c r="AM581" s="25"/>
      <c r="AN581" s="25"/>
      <c r="AO581" s="25"/>
      <c r="AP581" s="25"/>
      <c r="AQ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57"/>
      <c r="AK582" s="25"/>
      <c r="AL582" s="25"/>
      <c r="AM582" s="25"/>
      <c r="AN582" s="25"/>
      <c r="AO582" s="25"/>
      <c r="AP582" s="25"/>
      <c r="AQ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57"/>
      <c r="AK583" s="25"/>
      <c r="AL583" s="25"/>
      <c r="AM583" s="25"/>
      <c r="AN583" s="25"/>
      <c r="AO583" s="25"/>
      <c r="AP583" s="25"/>
      <c r="AQ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57"/>
      <c r="AK584" s="25"/>
      <c r="AL584" s="25"/>
      <c r="AM584" s="25"/>
      <c r="AN584" s="25"/>
      <c r="AO584" s="25"/>
      <c r="AP584" s="25"/>
      <c r="AQ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57"/>
      <c r="AK585" s="25"/>
      <c r="AL585" s="25"/>
      <c r="AM585" s="25"/>
      <c r="AN585" s="25"/>
      <c r="AO585" s="25"/>
      <c r="AP585" s="25"/>
      <c r="AQ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57"/>
      <c r="AK586" s="25"/>
      <c r="AL586" s="25"/>
      <c r="AM586" s="25"/>
      <c r="AN586" s="25"/>
      <c r="AO586" s="25"/>
      <c r="AP586" s="25"/>
      <c r="AQ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57"/>
      <c r="AK587" s="25"/>
      <c r="AL587" s="25"/>
      <c r="AM587" s="25"/>
      <c r="AN587" s="25"/>
      <c r="AO587" s="25"/>
      <c r="AP587" s="25"/>
      <c r="AQ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57"/>
      <c r="AK588" s="25"/>
      <c r="AL588" s="25"/>
      <c r="AM588" s="25"/>
      <c r="AN588" s="25"/>
      <c r="AO588" s="25"/>
      <c r="AP588" s="25"/>
      <c r="AQ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57"/>
      <c r="AK589" s="25"/>
      <c r="AL589" s="25"/>
      <c r="AM589" s="25"/>
      <c r="AN589" s="25"/>
      <c r="AO589" s="25"/>
      <c r="AP589" s="25"/>
      <c r="AQ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57"/>
      <c r="AK590" s="25"/>
      <c r="AL590" s="25"/>
      <c r="AM590" s="25"/>
      <c r="AN590" s="25"/>
      <c r="AO590" s="25"/>
      <c r="AP590" s="25"/>
      <c r="AQ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57"/>
      <c r="AK591" s="25"/>
      <c r="AL591" s="25"/>
      <c r="AM591" s="25"/>
      <c r="AN591" s="25"/>
      <c r="AO591" s="25"/>
      <c r="AP591" s="25"/>
      <c r="AQ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57"/>
      <c r="AK592" s="25"/>
      <c r="AL592" s="25"/>
      <c r="AM592" s="25"/>
      <c r="AN592" s="25"/>
      <c r="AO592" s="25"/>
      <c r="AP592" s="25"/>
      <c r="AQ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57"/>
      <c r="AK593" s="25"/>
      <c r="AL593" s="25"/>
      <c r="AM593" s="25"/>
      <c r="AN593" s="25"/>
      <c r="AO593" s="25"/>
      <c r="AP593" s="25"/>
      <c r="AQ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57"/>
      <c r="AK594" s="25"/>
      <c r="AL594" s="25"/>
      <c r="AM594" s="25"/>
      <c r="AN594" s="25"/>
      <c r="AO594" s="25"/>
      <c r="AP594" s="25"/>
      <c r="AQ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57"/>
      <c r="AK595" s="25"/>
      <c r="AL595" s="25"/>
      <c r="AM595" s="25"/>
      <c r="AN595" s="25"/>
      <c r="AO595" s="25"/>
      <c r="AP595" s="25"/>
      <c r="AQ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57"/>
      <c r="AK596" s="25"/>
      <c r="AL596" s="25"/>
      <c r="AM596" s="25"/>
      <c r="AN596" s="25"/>
      <c r="AO596" s="25"/>
      <c r="AP596" s="25"/>
      <c r="AQ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57"/>
      <c r="AK597" s="25"/>
      <c r="AL597" s="25"/>
      <c r="AM597" s="25"/>
      <c r="AN597" s="25"/>
      <c r="AO597" s="25"/>
      <c r="AP597" s="25"/>
      <c r="AQ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57"/>
      <c r="AK598" s="25"/>
      <c r="AL598" s="25"/>
      <c r="AM598" s="25"/>
      <c r="AN598" s="25"/>
      <c r="AO598" s="25"/>
      <c r="AP598" s="25"/>
      <c r="AQ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57"/>
      <c r="AK599" s="25"/>
      <c r="AL599" s="25"/>
      <c r="AM599" s="25"/>
      <c r="AN599" s="25"/>
      <c r="AO599" s="25"/>
      <c r="AP599" s="25"/>
      <c r="AQ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57"/>
      <c r="AK600" s="25"/>
      <c r="AL600" s="25"/>
      <c r="AM600" s="25"/>
      <c r="AN600" s="25"/>
      <c r="AO600" s="25"/>
      <c r="AP600" s="25"/>
      <c r="AQ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57"/>
      <c r="AK601" s="25"/>
      <c r="AL601" s="25"/>
      <c r="AM601" s="25"/>
      <c r="AN601" s="25"/>
      <c r="AO601" s="25"/>
      <c r="AP601" s="25"/>
      <c r="AQ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57"/>
      <c r="AK602" s="25"/>
      <c r="AL602" s="25"/>
      <c r="AM602" s="25"/>
      <c r="AN602" s="25"/>
      <c r="AO602" s="25"/>
      <c r="AP602" s="25"/>
      <c r="AQ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57"/>
      <c r="AK603" s="25"/>
      <c r="AL603" s="25"/>
      <c r="AM603" s="25"/>
      <c r="AN603" s="25"/>
      <c r="AO603" s="25"/>
      <c r="AP603" s="25"/>
      <c r="AQ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57"/>
      <c r="AK604" s="25"/>
      <c r="AL604" s="25"/>
      <c r="AM604" s="25"/>
      <c r="AN604" s="25"/>
      <c r="AO604" s="25"/>
      <c r="AP604" s="25"/>
      <c r="AQ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57"/>
      <c r="AK605" s="25"/>
      <c r="AL605" s="25"/>
      <c r="AM605" s="25"/>
      <c r="AN605" s="25"/>
      <c r="AO605" s="25"/>
      <c r="AP605" s="25"/>
      <c r="AQ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57"/>
      <c r="AK606" s="25"/>
      <c r="AL606" s="25"/>
      <c r="AM606" s="25"/>
      <c r="AN606" s="25"/>
      <c r="AO606" s="25"/>
      <c r="AP606" s="25"/>
      <c r="AQ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57"/>
      <c r="AK607" s="25"/>
      <c r="AL607" s="25"/>
      <c r="AM607" s="25"/>
      <c r="AN607" s="25"/>
      <c r="AO607" s="25"/>
      <c r="AP607" s="25"/>
      <c r="AQ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57"/>
      <c r="AK608" s="25"/>
      <c r="AL608" s="25"/>
      <c r="AM608" s="25"/>
      <c r="AN608" s="25"/>
      <c r="AO608" s="25"/>
      <c r="AP608" s="25"/>
      <c r="AQ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57"/>
      <c r="AK609" s="25"/>
      <c r="AL609" s="25"/>
      <c r="AM609" s="25"/>
      <c r="AN609" s="25"/>
      <c r="AO609" s="25"/>
      <c r="AP609" s="25"/>
      <c r="AQ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57"/>
      <c r="AK610" s="25"/>
      <c r="AL610" s="25"/>
      <c r="AM610" s="25"/>
      <c r="AN610" s="25"/>
      <c r="AO610" s="25"/>
      <c r="AP610" s="25"/>
      <c r="AQ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57"/>
      <c r="AK611" s="25"/>
      <c r="AL611" s="25"/>
      <c r="AM611" s="25"/>
      <c r="AN611" s="25"/>
      <c r="AO611" s="25"/>
      <c r="AP611" s="25"/>
      <c r="AQ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57"/>
      <c r="AK612" s="25"/>
      <c r="AL612" s="25"/>
      <c r="AM612" s="25"/>
      <c r="AN612" s="25"/>
      <c r="AO612" s="25"/>
      <c r="AP612" s="25"/>
      <c r="AQ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57"/>
      <c r="AK613" s="25"/>
      <c r="AL613" s="25"/>
      <c r="AM613" s="25"/>
      <c r="AN613" s="25"/>
      <c r="AO613" s="25"/>
      <c r="AP613" s="25"/>
      <c r="AQ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57"/>
      <c r="AK614" s="25"/>
      <c r="AL614" s="25"/>
      <c r="AM614" s="25"/>
      <c r="AN614" s="25"/>
      <c r="AO614" s="25"/>
      <c r="AP614" s="25"/>
      <c r="AQ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57"/>
      <c r="AK615" s="25"/>
      <c r="AL615" s="25"/>
      <c r="AM615" s="25"/>
      <c r="AN615" s="25"/>
      <c r="AO615" s="25"/>
      <c r="AP615" s="25"/>
      <c r="AQ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57"/>
      <c r="AK616" s="25"/>
      <c r="AL616" s="25"/>
      <c r="AM616" s="25"/>
      <c r="AN616" s="25"/>
      <c r="AO616" s="25"/>
      <c r="AP616" s="25"/>
      <c r="AQ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57"/>
      <c r="AK617" s="25"/>
      <c r="AL617" s="25"/>
      <c r="AM617" s="25"/>
      <c r="AN617" s="25"/>
      <c r="AO617" s="25"/>
      <c r="AP617" s="25"/>
      <c r="AQ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57"/>
      <c r="AK618" s="25"/>
      <c r="AL618" s="25"/>
      <c r="AM618" s="25"/>
      <c r="AN618" s="25"/>
      <c r="AO618" s="25"/>
      <c r="AP618" s="25"/>
      <c r="AQ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57"/>
      <c r="AK619" s="25"/>
      <c r="AL619" s="25"/>
      <c r="AM619" s="25"/>
      <c r="AN619" s="25"/>
      <c r="AO619" s="25"/>
      <c r="AP619" s="25"/>
      <c r="AQ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57"/>
      <c r="AK620" s="25"/>
      <c r="AL620" s="25"/>
      <c r="AM620" s="25"/>
      <c r="AN620" s="25"/>
      <c r="AO620" s="25"/>
      <c r="AP620" s="25"/>
      <c r="AQ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57"/>
      <c r="AK621" s="25"/>
      <c r="AL621" s="25"/>
      <c r="AM621" s="25"/>
      <c r="AN621" s="25"/>
      <c r="AO621" s="25"/>
      <c r="AP621" s="25"/>
      <c r="AQ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57"/>
      <c r="AK622" s="25"/>
      <c r="AL622" s="25"/>
      <c r="AM622" s="25"/>
      <c r="AN622" s="25"/>
      <c r="AO622" s="25"/>
      <c r="AP622" s="25"/>
      <c r="AQ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57"/>
      <c r="AK623" s="25"/>
      <c r="AL623" s="25"/>
      <c r="AM623" s="25"/>
      <c r="AN623" s="25"/>
      <c r="AO623" s="25"/>
      <c r="AP623" s="25"/>
      <c r="AQ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57"/>
      <c r="AK624" s="25"/>
      <c r="AL624" s="25"/>
      <c r="AM624" s="25"/>
      <c r="AN624" s="25"/>
      <c r="AO624" s="25"/>
      <c r="AP624" s="25"/>
      <c r="AQ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57"/>
      <c r="AK625" s="25"/>
      <c r="AL625" s="25"/>
      <c r="AM625" s="25"/>
      <c r="AN625" s="25"/>
      <c r="AO625" s="25"/>
      <c r="AP625" s="25"/>
      <c r="AQ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57"/>
      <c r="AK626" s="25"/>
      <c r="AL626" s="25"/>
      <c r="AM626" s="25"/>
      <c r="AN626" s="25"/>
      <c r="AO626" s="25"/>
      <c r="AP626" s="25"/>
      <c r="AQ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57"/>
      <c r="AK627" s="25"/>
      <c r="AL627" s="25"/>
      <c r="AM627" s="25"/>
      <c r="AN627" s="25"/>
      <c r="AO627" s="25"/>
      <c r="AP627" s="25"/>
      <c r="AQ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57"/>
      <c r="AK628" s="25"/>
      <c r="AL628" s="25"/>
      <c r="AM628" s="25"/>
      <c r="AN628" s="25"/>
      <c r="AO628" s="25"/>
      <c r="AP628" s="25"/>
      <c r="AQ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57"/>
      <c r="AK629" s="25"/>
      <c r="AL629" s="25"/>
      <c r="AM629" s="25"/>
      <c r="AN629" s="25"/>
      <c r="AO629" s="25"/>
      <c r="AP629" s="25"/>
      <c r="AQ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57"/>
      <c r="AK630" s="25"/>
      <c r="AL630" s="25"/>
      <c r="AM630" s="25"/>
      <c r="AN630" s="25"/>
      <c r="AO630" s="25"/>
      <c r="AP630" s="25"/>
      <c r="AQ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57"/>
      <c r="AK631" s="25"/>
      <c r="AL631" s="25"/>
      <c r="AM631" s="25"/>
      <c r="AN631" s="25"/>
      <c r="AO631" s="25"/>
      <c r="AP631" s="25"/>
      <c r="AQ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57"/>
      <c r="AK632" s="25"/>
      <c r="AL632" s="25"/>
      <c r="AM632" s="25"/>
      <c r="AN632" s="25"/>
      <c r="AO632" s="25"/>
      <c r="AP632" s="25"/>
      <c r="AQ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57"/>
      <c r="AK633" s="25"/>
      <c r="AL633" s="25"/>
      <c r="AM633" s="25"/>
      <c r="AN633" s="25"/>
      <c r="AO633" s="25"/>
      <c r="AP633" s="25"/>
      <c r="AQ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57"/>
      <c r="AK634" s="25"/>
      <c r="AL634" s="25"/>
      <c r="AM634" s="25"/>
      <c r="AN634" s="25"/>
      <c r="AO634" s="25"/>
      <c r="AP634" s="25"/>
      <c r="AQ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57"/>
      <c r="AK635" s="25"/>
      <c r="AL635" s="25"/>
      <c r="AM635" s="25"/>
      <c r="AN635" s="25"/>
      <c r="AO635" s="25"/>
      <c r="AP635" s="25"/>
      <c r="AQ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57"/>
      <c r="AK636" s="25"/>
      <c r="AL636" s="25"/>
      <c r="AM636" s="25"/>
      <c r="AN636" s="25"/>
      <c r="AO636" s="25"/>
      <c r="AP636" s="25"/>
      <c r="AQ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57"/>
      <c r="AK637" s="25"/>
      <c r="AL637" s="25"/>
      <c r="AM637" s="25"/>
      <c r="AN637" s="25"/>
      <c r="AO637" s="25"/>
      <c r="AP637" s="25"/>
      <c r="AQ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57"/>
      <c r="AK638" s="25"/>
      <c r="AL638" s="25"/>
      <c r="AM638" s="25"/>
      <c r="AN638" s="25"/>
      <c r="AO638" s="25"/>
      <c r="AP638" s="25"/>
      <c r="AQ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57"/>
      <c r="AK639" s="25"/>
      <c r="AL639" s="25"/>
      <c r="AM639" s="25"/>
      <c r="AN639" s="25"/>
      <c r="AO639" s="25"/>
      <c r="AP639" s="25"/>
      <c r="AQ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57"/>
      <c r="AK640" s="25"/>
      <c r="AL640" s="25"/>
      <c r="AM640" s="25"/>
      <c r="AN640" s="25"/>
      <c r="AO640" s="25"/>
      <c r="AP640" s="25"/>
      <c r="AQ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57"/>
      <c r="AK641" s="25"/>
      <c r="AL641" s="25"/>
      <c r="AM641" s="25"/>
      <c r="AN641" s="25"/>
      <c r="AO641" s="25"/>
      <c r="AP641" s="25"/>
      <c r="AQ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57"/>
      <c r="AK642" s="25"/>
      <c r="AL642" s="25"/>
      <c r="AM642" s="25"/>
      <c r="AN642" s="25"/>
      <c r="AO642" s="25"/>
      <c r="AP642" s="25"/>
      <c r="AQ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57"/>
      <c r="AK643" s="25"/>
      <c r="AL643" s="25"/>
      <c r="AM643" s="25"/>
      <c r="AN643" s="25"/>
      <c r="AO643" s="25"/>
      <c r="AP643" s="25"/>
      <c r="AQ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57"/>
      <c r="AK644" s="25"/>
      <c r="AL644" s="25"/>
      <c r="AM644" s="25"/>
      <c r="AN644" s="25"/>
      <c r="AO644" s="25"/>
      <c r="AP644" s="25"/>
      <c r="AQ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57"/>
      <c r="AK645" s="25"/>
      <c r="AL645" s="25"/>
      <c r="AM645" s="25"/>
      <c r="AN645" s="25"/>
      <c r="AO645" s="25"/>
      <c r="AP645" s="25"/>
      <c r="AQ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57"/>
      <c r="AK646" s="25"/>
      <c r="AL646" s="25"/>
      <c r="AM646" s="25"/>
      <c r="AN646" s="25"/>
      <c r="AO646" s="25"/>
      <c r="AP646" s="25"/>
      <c r="AQ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57"/>
      <c r="AK647" s="25"/>
      <c r="AL647" s="25"/>
      <c r="AM647" s="25"/>
      <c r="AN647" s="25"/>
      <c r="AO647" s="25"/>
      <c r="AP647" s="25"/>
      <c r="AQ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57"/>
      <c r="AK648" s="25"/>
      <c r="AL648" s="25"/>
      <c r="AM648" s="25"/>
      <c r="AN648" s="25"/>
      <c r="AO648" s="25"/>
      <c r="AP648" s="25"/>
      <c r="AQ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57"/>
      <c r="AK649" s="25"/>
      <c r="AL649" s="25"/>
      <c r="AM649" s="25"/>
      <c r="AN649" s="25"/>
      <c r="AO649" s="25"/>
      <c r="AP649" s="25"/>
      <c r="AQ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57"/>
      <c r="AK650" s="25"/>
      <c r="AL650" s="25"/>
      <c r="AM650" s="25"/>
      <c r="AN650" s="25"/>
      <c r="AO650" s="25"/>
      <c r="AP650" s="25"/>
      <c r="AQ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57"/>
      <c r="AK651" s="25"/>
      <c r="AL651" s="25"/>
      <c r="AM651" s="25"/>
      <c r="AN651" s="25"/>
      <c r="AO651" s="25"/>
      <c r="AP651" s="25"/>
      <c r="AQ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57"/>
      <c r="AK652" s="25"/>
      <c r="AL652" s="25"/>
      <c r="AM652" s="25"/>
      <c r="AN652" s="25"/>
      <c r="AO652" s="25"/>
      <c r="AP652" s="25"/>
      <c r="AQ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57"/>
      <c r="AK653" s="25"/>
      <c r="AL653" s="25"/>
      <c r="AM653" s="25"/>
      <c r="AN653" s="25"/>
      <c r="AO653" s="25"/>
      <c r="AP653" s="25"/>
      <c r="AQ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57"/>
      <c r="AK654" s="25"/>
      <c r="AL654" s="25"/>
      <c r="AM654" s="25"/>
      <c r="AN654" s="25"/>
      <c r="AO654" s="25"/>
      <c r="AP654" s="25"/>
      <c r="AQ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57"/>
      <c r="AK655" s="25"/>
      <c r="AL655" s="25"/>
      <c r="AM655" s="25"/>
      <c r="AN655" s="25"/>
      <c r="AO655" s="25"/>
      <c r="AP655" s="25"/>
      <c r="AQ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57"/>
      <c r="AK656" s="25"/>
      <c r="AL656" s="25"/>
      <c r="AM656" s="25"/>
      <c r="AN656" s="25"/>
      <c r="AO656" s="25"/>
      <c r="AP656" s="25"/>
      <c r="AQ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57"/>
      <c r="AK657" s="25"/>
      <c r="AL657" s="25"/>
      <c r="AM657" s="25"/>
      <c r="AN657" s="25"/>
      <c r="AO657" s="25"/>
      <c r="AP657" s="25"/>
      <c r="AQ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57"/>
      <c r="AK658" s="25"/>
      <c r="AL658" s="25"/>
      <c r="AM658" s="25"/>
      <c r="AN658" s="25"/>
      <c r="AO658" s="25"/>
      <c r="AP658" s="25"/>
      <c r="AQ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57"/>
      <c r="AK659" s="25"/>
      <c r="AL659" s="25"/>
      <c r="AM659" s="25"/>
      <c r="AN659" s="25"/>
      <c r="AO659" s="25"/>
      <c r="AP659" s="25"/>
      <c r="AQ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57"/>
      <c r="AK660" s="25"/>
      <c r="AL660" s="25"/>
      <c r="AM660" s="25"/>
      <c r="AN660" s="25"/>
      <c r="AO660" s="25"/>
      <c r="AP660" s="25"/>
      <c r="AQ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57"/>
      <c r="AK661" s="25"/>
      <c r="AL661" s="25"/>
      <c r="AM661" s="25"/>
      <c r="AN661" s="25"/>
      <c r="AO661" s="25"/>
      <c r="AP661" s="25"/>
      <c r="AQ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57"/>
      <c r="AK662" s="25"/>
      <c r="AL662" s="25"/>
      <c r="AM662" s="25"/>
      <c r="AN662" s="25"/>
      <c r="AO662" s="25"/>
      <c r="AP662" s="25"/>
      <c r="AQ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57"/>
      <c r="AK663" s="25"/>
      <c r="AL663" s="25"/>
      <c r="AM663" s="25"/>
      <c r="AN663" s="25"/>
      <c r="AO663" s="25"/>
      <c r="AP663" s="25"/>
      <c r="AQ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57"/>
      <c r="AK664" s="25"/>
      <c r="AL664" s="25"/>
      <c r="AM664" s="25"/>
      <c r="AN664" s="25"/>
      <c r="AO664" s="25"/>
      <c r="AP664" s="25"/>
      <c r="AQ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57"/>
      <c r="AK665" s="25"/>
      <c r="AL665" s="25"/>
      <c r="AM665" s="25"/>
      <c r="AN665" s="25"/>
      <c r="AO665" s="25"/>
      <c r="AP665" s="25"/>
      <c r="AQ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57"/>
      <c r="AK666" s="25"/>
      <c r="AL666" s="25"/>
      <c r="AM666" s="25"/>
      <c r="AN666" s="25"/>
      <c r="AO666" s="25"/>
      <c r="AP666" s="25"/>
      <c r="AQ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57"/>
      <c r="AK667" s="25"/>
      <c r="AL667" s="25"/>
      <c r="AM667" s="25"/>
      <c r="AN667" s="25"/>
      <c r="AO667" s="25"/>
      <c r="AP667" s="25"/>
      <c r="AQ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57"/>
      <c r="AK668" s="25"/>
      <c r="AL668" s="25"/>
      <c r="AM668" s="25"/>
      <c r="AN668" s="25"/>
      <c r="AO668" s="25"/>
      <c r="AP668" s="25"/>
      <c r="AQ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57"/>
      <c r="AK669" s="25"/>
      <c r="AL669" s="25"/>
      <c r="AM669" s="25"/>
      <c r="AN669" s="25"/>
      <c r="AO669" s="25"/>
      <c r="AP669" s="25"/>
      <c r="AQ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57"/>
      <c r="AK670" s="25"/>
      <c r="AL670" s="25"/>
      <c r="AM670" s="25"/>
      <c r="AN670" s="25"/>
      <c r="AO670" s="25"/>
      <c r="AP670" s="25"/>
      <c r="AQ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57"/>
      <c r="AK671" s="25"/>
      <c r="AL671" s="25"/>
      <c r="AM671" s="25"/>
      <c r="AN671" s="25"/>
      <c r="AO671" s="25"/>
      <c r="AP671" s="25"/>
      <c r="AQ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57"/>
      <c r="AK672" s="25"/>
      <c r="AL672" s="25"/>
      <c r="AM672" s="25"/>
      <c r="AN672" s="25"/>
      <c r="AO672" s="25"/>
      <c r="AP672" s="25"/>
      <c r="AQ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57"/>
      <c r="AK673" s="25"/>
      <c r="AL673" s="25"/>
      <c r="AM673" s="25"/>
      <c r="AN673" s="25"/>
      <c r="AO673" s="25"/>
      <c r="AP673" s="25"/>
      <c r="AQ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57"/>
      <c r="AK674" s="25"/>
      <c r="AL674" s="25"/>
      <c r="AM674" s="25"/>
      <c r="AN674" s="25"/>
      <c r="AO674" s="25"/>
      <c r="AP674" s="25"/>
      <c r="AQ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57"/>
      <c r="AK675" s="25"/>
      <c r="AL675" s="25"/>
      <c r="AM675" s="25"/>
      <c r="AN675" s="25"/>
      <c r="AO675" s="25"/>
      <c r="AP675" s="25"/>
      <c r="AQ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57"/>
      <c r="AK676" s="25"/>
      <c r="AL676" s="25"/>
      <c r="AM676" s="25"/>
      <c r="AN676" s="25"/>
      <c r="AO676" s="25"/>
      <c r="AP676" s="25"/>
      <c r="AQ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57"/>
      <c r="AK677" s="25"/>
      <c r="AL677" s="25"/>
      <c r="AM677" s="25"/>
      <c r="AN677" s="25"/>
      <c r="AO677" s="25"/>
      <c r="AP677" s="25"/>
      <c r="AQ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57"/>
      <c r="AK678" s="25"/>
      <c r="AL678" s="25"/>
      <c r="AM678" s="25"/>
      <c r="AN678" s="25"/>
      <c r="AO678" s="25"/>
      <c r="AP678" s="25"/>
      <c r="AQ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57"/>
      <c r="AK679" s="25"/>
      <c r="AL679" s="25"/>
      <c r="AM679" s="25"/>
      <c r="AN679" s="25"/>
      <c r="AO679" s="25"/>
      <c r="AP679" s="25"/>
      <c r="AQ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57"/>
      <c r="AK680" s="25"/>
      <c r="AL680" s="25"/>
      <c r="AM680" s="25"/>
      <c r="AN680" s="25"/>
      <c r="AO680" s="25"/>
      <c r="AP680" s="25"/>
      <c r="AQ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57"/>
      <c r="AK681" s="25"/>
      <c r="AL681" s="25"/>
      <c r="AM681" s="25"/>
      <c r="AN681" s="25"/>
      <c r="AO681" s="25"/>
      <c r="AP681" s="25"/>
      <c r="AQ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57"/>
      <c r="AK682" s="25"/>
      <c r="AL682" s="25"/>
      <c r="AM682" s="25"/>
      <c r="AN682" s="25"/>
      <c r="AO682" s="25"/>
      <c r="AP682" s="25"/>
      <c r="AQ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57"/>
      <c r="AK683" s="25"/>
      <c r="AL683" s="25"/>
      <c r="AM683" s="25"/>
      <c r="AN683" s="25"/>
      <c r="AO683" s="25"/>
      <c r="AP683" s="25"/>
      <c r="AQ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57"/>
      <c r="AK684" s="25"/>
      <c r="AL684" s="25"/>
      <c r="AM684" s="25"/>
      <c r="AN684" s="25"/>
      <c r="AO684" s="25"/>
      <c r="AP684" s="25"/>
      <c r="AQ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57"/>
      <c r="AK685" s="25"/>
      <c r="AL685" s="25"/>
      <c r="AM685" s="25"/>
      <c r="AN685" s="25"/>
      <c r="AO685" s="25"/>
      <c r="AP685" s="25"/>
      <c r="AQ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57"/>
      <c r="AK686" s="25"/>
      <c r="AL686" s="25"/>
      <c r="AM686" s="25"/>
      <c r="AN686" s="25"/>
      <c r="AO686" s="25"/>
      <c r="AP686" s="25"/>
      <c r="AQ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57"/>
      <c r="AK687" s="25"/>
      <c r="AL687" s="25"/>
      <c r="AM687" s="25"/>
      <c r="AN687" s="25"/>
      <c r="AO687" s="25"/>
      <c r="AP687" s="25"/>
      <c r="AQ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57"/>
      <c r="AK688" s="25"/>
      <c r="AL688" s="25"/>
      <c r="AM688" s="25"/>
      <c r="AN688" s="25"/>
      <c r="AO688" s="25"/>
      <c r="AP688" s="25"/>
      <c r="AQ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57"/>
      <c r="AK689" s="25"/>
      <c r="AL689" s="25"/>
      <c r="AM689" s="25"/>
      <c r="AN689" s="25"/>
      <c r="AO689" s="25"/>
      <c r="AP689" s="25"/>
      <c r="AQ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57"/>
      <c r="AK690" s="25"/>
      <c r="AL690" s="25"/>
      <c r="AM690" s="25"/>
      <c r="AN690" s="25"/>
      <c r="AO690" s="25"/>
      <c r="AP690" s="25"/>
      <c r="AQ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57"/>
      <c r="AK691" s="25"/>
      <c r="AL691" s="25"/>
      <c r="AM691" s="25"/>
      <c r="AN691" s="25"/>
      <c r="AO691" s="25"/>
      <c r="AP691" s="25"/>
      <c r="AQ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57"/>
      <c r="AK692" s="25"/>
      <c r="AL692" s="25"/>
      <c r="AM692" s="25"/>
      <c r="AN692" s="25"/>
      <c r="AO692" s="25"/>
      <c r="AP692" s="25"/>
      <c r="AQ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57"/>
      <c r="AK693" s="25"/>
      <c r="AL693" s="25"/>
      <c r="AM693" s="25"/>
      <c r="AN693" s="25"/>
      <c r="AO693" s="25"/>
      <c r="AP693" s="25"/>
      <c r="AQ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57"/>
      <c r="AK694" s="25"/>
      <c r="AL694" s="25"/>
      <c r="AM694" s="25"/>
      <c r="AN694" s="25"/>
      <c r="AO694" s="25"/>
      <c r="AP694" s="25"/>
      <c r="AQ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57"/>
      <c r="AK695" s="25"/>
      <c r="AL695" s="25"/>
      <c r="AM695" s="25"/>
      <c r="AN695" s="25"/>
      <c r="AO695" s="25"/>
      <c r="AP695" s="25"/>
      <c r="AQ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57"/>
      <c r="AK696" s="25"/>
      <c r="AL696" s="25"/>
      <c r="AM696" s="25"/>
      <c r="AN696" s="25"/>
      <c r="AO696" s="25"/>
      <c r="AP696" s="25"/>
      <c r="AQ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57"/>
      <c r="AK697" s="25"/>
      <c r="AL697" s="25"/>
      <c r="AM697" s="25"/>
      <c r="AN697" s="25"/>
      <c r="AO697" s="25"/>
      <c r="AP697" s="25"/>
      <c r="AQ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57"/>
      <c r="AK698" s="25"/>
      <c r="AL698" s="25"/>
      <c r="AM698" s="25"/>
      <c r="AN698" s="25"/>
      <c r="AO698" s="25"/>
      <c r="AP698" s="25"/>
      <c r="AQ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57"/>
      <c r="AK699" s="25"/>
      <c r="AL699" s="25"/>
      <c r="AM699" s="25"/>
      <c r="AN699" s="25"/>
      <c r="AO699" s="25"/>
      <c r="AP699" s="25"/>
      <c r="AQ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57"/>
      <c r="AK700" s="25"/>
      <c r="AL700" s="25"/>
      <c r="AM700" s="25"/>
      <c r="AN700" s="25"/>
      <c r="AO700" s="25"/>
      <c r="AP700" s="25"/>
      <c r="AQ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57"/>
      <c r="AK701" s="25"/>
      <c r="AL701" s="25"/>
      <c r="AM701" s="25"/>
      <c r="AN701" s="25"/>
      <c r="AO701" s="25"/>
      <c r="AP701" s="25"/>
      <c r="AQ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57"/>
      <c r="AK702" s="25"/>
      <c r="AL702" s="25"/>
      <c r="AM702" s="25"/>
      <c r="AN702" s="25"/>
      <c r="AO702" s="25"/>
      <c r="AP702" s="25"/>
      <c r="AQ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57"/>
      <c r="AK703" s="25"/>
      <c r="AL703" s="25"/>
      <c r="AM703" s="25"/>
      <c r="AN703" s="25"/>
      <c r="AO703" s="25"/>
      <c r="AP703" s="25"/>
      <c r="AQ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57"/>
      <c r="AK704" s="25"/>
      <c r="AL704" s="25"/>
      <c r="AM704" s="25"/>
      <c r="AN704" s="25"/>
      <c r="AO704" s="25"/>
      <c r="AP704" s="25"/>
      <c r="AQ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57"/>
      <c r="AK705" s="25"/>
      <c r="AL705" s="25"/>
      <c r="AM705" s="25"/>
      <c r="AN705" s="25"/>
      <c r="AO705" s="25"/>
      <c r="AP705" s="25"/>
      <c r="AQ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57"/>
      <c r="AK706" s="25"/>
      <c r="AL706" s="25"/>
      <c r="AM706" s="25"/>
      <c r="AN706" s="25"/>
      <c r="AO706" s="25"/>
      <c r="AP706" s="25"/>
      <c r="AQ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57"/>
      <c r="AK707" s="25"/>
      <c r="AL707" s="25"/>
      <c r="AM707" s="25"/>
      <c r="AN707" s="25"/>
      <c r="AO707" s="25"/>
      <c r="AP707" s="25"/>
      <c r="AQ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57"/>
      <c r="AK708" s="25"/>
      <c r="AL708" s="25"/>
      <c r="AM708" s="25"/>
      <c r="AN708" s="25"/>
      <c r="AO708" s="25"/>
      <c r="AP708" s="25"/>
      <c r="AQ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57"/>
      <c r="AK709" s="25"/>
      <c r="AL709" s="25"/>
      <c r="AM709" s="25"/>
      <c r="AN709" s="25"/>
      <c r="AO709" s="25"/>
      <c r="AP709" s="25"/>
      <c r="AQ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57"/>
      <c r="AK710" s="25"/>
      <c r="AL710" s="25"/>
      <c r="AM710" s="25"/>
      <c r="AN710" s="25"/>
      <c r="AO710" s="25"/>
      <c r="AP710" s="25"/>
      <c r="AQ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57"/>
      <c r="AK711" s="25"/>
      <c r="AL711" s="25"/>
      <c r="AM711" s="25"/>
      <c r="AN711" s="25"/>
      <c r="AO711" s="25"/>
      <c r="AP711" s="25"/>
      <c r="AQ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57"/>
      <c r="AK712" s="25"/>
      <c r="AL712" s="25"/>
      <c r="AM712" s="25"/>
      <c r="AN712" s="25"/>
      <c r="AO712" s="25"/>
      <c r="AP712" s="25"/>
      <c r="AQ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57"/>
      <c r="AK713" s="25"/>
      <c r="AL713" s="25"/>
      <c r="AM713" s="25"/>
      <c r="AN713" s="25"/>
      <c r="AO713" s="25"/>
      <c r="AP713" s="25"/>
      <c r="AQ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57"/>
      <c r="AK714" s="25"/>
      <c r="AL714" s="25"/>
      <c r="AM714" s="25"/>
      <c r="AN714" s="25"/>
      <c r="AO714" s="25"/>
      <c r="AP714" s="25"/>
      <c r="AQ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57"/>
      <c r="AK715" s="25"/>
      <c r="AL715" s="25"/>
      <c r="AM715" s="25"/>
      <c r="AN715" s="25"/>
      <c r="AO715" s="25"/>
      <c r="AP715" s="25"/>
      <c r="AQ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57"/>
      <c r="AK716" s="25"/>
      <c r="AL716" s="25"/>
      <c r="AM716" s="25"/>
      <c r="AN716" s="25"/>
      <c r="AO716" s="25"/>
      <c r="AP716" s="25"/>
      <c r="AQ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57"/>
      <c r="AK717" s="25"/>
      <c r="AL717" s="25"/>
      <c r="AM717" s="25"/>
      <c r="AN717" s="25"/>
      <c r="AO717" s="25"/>
      <c r="AP717" s="25"/>
      <c r="AQ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57"/>
      <c r="AK718" s="25"/>
      <c r="AL718" s="25"/>
      <c r="AM718" s="25"/>
      <c r="AN718" s="25"/>
      <c r="AO718" s="25"/>
      <c r="AP718" s="25"/>
      <c r="AQ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57"/>
      <c r="AK719" s="25"/>
      <c r="AL719" s="25"/>
      <c r="AM719" s="25"/>
      <c r="AN719" s="25"/>
      <c r="AO719" s="25"/>
      <c r="AP719" s="25"/>
      <c r="AQ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57"/>
      <c r="AK720" s="25"/>
      <c r="AL720" s="25"/>
      <c r="AM720" s="25"/>
      <c r="AN720" s="25"/>
      <c r="AO720" s="25"/>
      <c r="AP720" s="25"/>
      <c r="AQ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57"/>
      <c r="AK721" s="25"/>
      <c r="AL721" s="25"/>
      <c r="AM721" s="25"/>
      <c r="AN721" s="25"/>
      <c r="AO721" s="25"/>
      <c r="AP721" s="25"/>
      <c r="AQ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57"/>
      <c r="AK722" s="25"/>
      <c r="AL722" s="25"/>
      <c r="AM722" s="25"/>
      <c r="AN722" s="25"/>
      <c r="AO722" s="25"/>
      <c r="AP722" s="25"/>
      <c r="AQ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57"/>
      <c r="AK723" s="25"/>
      <c r="AL723" s="25"/>
      <c r="AM723" s="25"/>
      <c r="AN723" s="25"/>
      <c r="AO723" s="25"/>
      <c r="AP723" s="25"/>
      <c r="AQ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57"/>
      <c r="AK724" s="25"/>
      <c r="AL724" s="25"/>
      <c r="AM724" s="25"/>
      <c r="AN724" s="25"/>
      <c r="AO724" s="25"/>
      <c r="AP724" s="25"/>
      <c r="AQ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57"/>
      <c r="AK725" s="25"/>
      <c r="AL725" s="25"/>
      <c r="AM725" s="25"/>
      <c r="AN725" s="25"/>
      <c r="AO725" s="25"/>
      <c r="AP725" s="25"/>
      <c r="AQ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57"/>
      <c r="AK726" s="25"/>
      <c r="AL726" s="25"/>
      <c r="AM726" s="25"/>
      <c r="AN726" s="25"/>
      <c r="AO726" s="25"/>
      <c r="AP726" s="25"/>
      <c r="AQ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57"/>
      <c r="AK727" s="25"/>
      <c r="AL727" s="25"/>
      <c r="AM727" s="25"/>
      <c r="AN727" s="25"/>
      <c r="AO727" s="25"/>
      <c r="AP727" s="25"/>
      <c r="AQ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57"/>
      <c r="AK728" s="25"/>
      <c r="AL728" s="25"/>
      <c r="AM728" s="25"/>
      <c r="AN728" s="25"/>
      <c r="AO728" s="25"/>
      <c r="AP728" s="25"/>
      <c r="AQ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57"/>
      <c r="AK729" s="25"/>
      <c r="AL729" s="25"/>
      <c r="AM729" s="25"/>
      <c r="AN729" s="25"/>
      <c r="AO729" s="25"/>
      <c r="AP729" s="25"/>
      <c r="AQ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57"/>
      <c r="AK730" s="25"/>
      <c r="AL730" s="25"/>
      <c r="AM730" s="25"/>
      <c r="AN730" s="25"/>
      <c r="AO730" s="25"/>
      <c r="AP730" s="25"/>
      <c r="AQ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57"/>
      <c r="AK731" s="25"/>
      <c r="AL731" s="25"/>
      <c r="AM731" s="25"/>
      <c r="AN731" s="25"/>
      <c r="AO731" s="25"/>
      <c r="AP731" s="25"/>
      <c r="AQ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57"/>
      <c r="AK732" s="25"/>
      <c r="AL732" s="25"/>
      <c r="AM732" s="25"/>
      <c r="AN732" s="25"/>
      <c r="AO732" s="25"/>
      <c r="AP732" s="25"/>
      <c r="AQ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57"/>
      <c r="AK733" s="25"/>
      <c r="AL733" s="25"/>
      <c r="AM733" s="25"/>
      <c r="AN733" s="25"/>
      <c r="AO733" s="25"/>
      <c r="AP733" s="25"/>
      <c r="AQ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57"/>
      <c r="AK734" s="25"/>
      <c r="AL734" s="25"/>
      <c r="AM734" s="25"/>
      <c r="AN734" s="25"/>
      <c r="AO734" s="25"/>
      <c r="AP734" s="25"/>
      <c r="AQ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57"/>
      <c r="AK735" s="25"/>
      <c r="AL735" s="25"/>
      <c r="AM735" s="25"/>
      <c r="AN735" s="25"/>
      <c r="AO735" s="25"/>
      <c r="AP735" s="25"/>
      <c r="AQ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57"/>
      <c r="AK736" s="25"/>
      <c r="AL736" s="25"/>
      <c r="AM736" s="25"/>
      <c r="AN736" s="25"/>
      <c r="AO736" s="25"/>
      <c r="AP736" s="25"/>
      <c r="AQ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57"/>
      <c r="AK737" s="25"/>
      <c r="AL737" s="25"/>
      <c r="AM737" s="25"/>
      <c r="AN737" s="25"/>
      <c r="AO737" s="25"/>
      <c r="AP737" s="25"/>
      <c r="AQ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57"/>
      <c r="AK738" s="25"/>
      <c r="AL738" s="25"/>
      <c r="AM738" s="25"/>
      <c r="AN738" s="25"/>
      <c r="AO738" s="25"/>
      <c r="AP738" s="25"/>
      <c r="AQ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57"/>
      <c r="AK739" s="25"/>
      <c r="AL739" s="25"/>
      <c r="AM739" s="25"/>
      <c r="AN739" s="25"/>
      <c r="AO739" s="25"/>
      <c r="AP739" s="25"/>
      <c r="AQ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57"/>
      <c r="AK740" s="25"/>
      <c r="AL740" s="25"/>
      <c r="AM740" s="25"/>
      <c r="AN740" s="25"/>
      <c r="AO740" s="25"/>
      <c r="AP740" s="25"/>
      <c r="AQ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57"/>
      <c r="AK741" s="25"/>
      <c r="AL741" s="25"/>
      <c r="AM741" s="25"/>
      <c r="AN741" s="25"/>
      <c r="AO741" s="25"/>
      <c r="AP741" s="25"/>
      <c r="AQ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57"/>
      <c r="AK742" s="25"/>
      <c r="AL742" s="25"/>
      <c r="AM742" s="25"/>
      <c r="AN742" s="25"/>
      <c r="AO742" s="25"/>
      <c r="AP742" s="25"/>
      <c r="AQ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57"/>
      <c r="AK743" s="25"/>
      <c r="AL743" s="25"/>
      <c r="AM743" s="25"/>
      <c r="AN743" s="25"/>
      <c r="AO743" s="25"/>
      <c r="AP743" s="25"/>
      <c r="AQ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57"/>
      <c r="AK744" s="25"/>
      <c r="AL744" s="25"/>
      <c r="AM744" s="25"/>
      <c r="AN744" s="25"/>
      <c r="AO744" s="25"/>
      <c r="AP744" s="25"/>
      <c r="AQ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57"/>
      <c r="AK745" s="25"/>
      <c r="AL745" s="25"/>
      <c r="AM745" s="25"/>
      <c r="AN745" s="25"/>
      <c r="AO745" s="25"/>
      <c r="AP745" s="25"/>
      <c r="AQ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57"/>
      <c r="AK746" s="25"/>
      <c r="AL746" s="25"/>
      <c r="AM746" s="25"/>
      <c r="AN746" s="25"/>
      <c r="AO746" s="25"/>
      <c r="AP746" s="25"/>
      <c r="AQ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57"/>
      <c r="AK747" s="25"/>
      <c r="AL747" s="25"/>
      <c r="AM747" s="25"/>
      <c r="AN747" s="25"/>
      <c r="AO747" s="25"/>
      <c r="AP747" s="25"/>
      <c r="AQ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57"/>
      <c r="AK748" s="25"/>
      <c r="AL748" s="25"/>
      <c r="AM748" s="25"/>
      <c r="AN748" s="25"/>
      <c r="AO748" s="25"/>
      <c r="AP748" s="25"/>
      <c r="AQ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57"/>
      <c r="AK749" s="25"/>
      <c r="AL749" s="25"/>
      <c r="AM749" s="25"/>
      <c r="AN749" s="25"/>
      <c r="AO749" s="25"/>
      <c r="AP749" s="25"/>
      <c r="AQ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57"/>
      <c r="AK750" s="25"/>
      <c r="AL750" s="25"/>
      <c r="AM750" s="25"/>
      <c r="AN750" s="25"/>
      <c r="AO750" s="25"/>
      <c r="AP750" s="25"/>
      <c r="AQ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57"/>
      <c r="AK751" s="25"/>
      <c r="AL751" s="25"/>
      <c r="AM751" s="25"/>
      <c r="AN751" s="25"/>
      <c r="AO751" s="25"/>
      <c r="AP751" s="25"/>
      <c r="AQ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57"/>
      <c r="AK752" s="25"/>
      <c r="AL752" s="25"/>
      <c r="AM752" s="25"/>
      <c r="AN752" s="25"/>
      <c r="AO752" s="25"/>
      <c r="AP752" s="25"/>
      <c r="AQ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57"/>
      <c r="AK753" s="25"/>
      <c r="AL753" s="25"/>
      <c r="AM753" s="25"/>
      <c r="AN753" s="25"/>
      <c r="AO753" s="25"/>
      <c r="AP753" s="25"/>
      <c r="AQ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57"/>
      <c r="AK754" s="25"/>
      <c r="AL754" s="25"/>
      <c r="AM754" s="25"/>
      <c r="AN754" s="25"/>
      <c r="AO754" s="25"/>
      <c r="AP754" s="25"/>
      <c r="AQ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57"/>
      <c r="AK755" s="25"/>
      <c r="AL755" s="25"/>
      <c r="AM755" s="25"/>
      <c r="AN755" s="25"/>
      <c r="AO755" s="25"/>
      <c r="AP755" s="25"/>
      <c r="AQ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57"/>
      <c r="AK756" s="25"/>
      <c r="AL756" s="25"/>
      <c r="AM756" s="25"/>
      <c r="AN756" s="25"/>
      <c r="AO756" s="25"/>
      <c r="AP756" s="25"/>
      <c r="AQ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57"/>
      <c r="AK757" s="25"/>
      <c r="AL757" s="25"/>
      <c r="AM757" s="25"/>
      <c r="AN757" s="25"/>
      <c r="AO757" s="25"/>
      <c r="AP757" s="25"/>
      <c r="AQ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57"/>
      <c r="AK758" s="25"/>
      <c r="AL758" s="25"/>
      <c r="AM758" s="25"/>
      <c r="AN758" s="25"/>
      <c r="AO758" s="25"/>
      <c r="AP758" s="25"/>
      <c r="AQ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57"/>
      <c r="AK759" s="25"/>
      <c r="AL759" s="25"/>
      <c r="AM759" s="25"/>
      <c r="AN759" s="25"/>
      <c r="AO759" s="25"/>
      <c r="AP759" s="25"/>
      <c r="AQ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57"/>
      <c r="AK760" s="25"/>
      <c r="AL760" s="25"/>
      <c r="AM760" s="25"/>
      <c r="AN760" s="25"/>
      <c r="AO760" s="25"/>
      <c r="AP760" s="25"/>
      <c r="AQ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57"/>
      <c r="AK761" s="25"/>
      <c r="AL761" s="25"/>
      <c r="AM761" s="25"/>
      <c r="AN761" s="25"/>
      <c r="AO761" s="25"/>
      <c r="AP761" s="25"/>
      <c r="AQ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57"/>
      <c r="AK762" s="25"/>
      <c r="AL762" s="25"/>
      <c r="AM762" s="25"/>
      <c r="AN762" s="25"/>
      <c r="AO762" s="25"/>
      <c r="AP762" s="25"/>
      <c r="AQ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57"/>
      <c r="AK763" s="25"/>
      <c r="AL763" s="25"/>
      <c r="AM763" s="25"/>
      <c r="AN763" s="25"/>
      <c r="AO763" s="25"/>
      <c r="AP763" s="25"/>
      <c r="AQ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57"/>
      <c r="AK764" s="25"/>
      <c r="AL764" s="25"/>
      <c r="AM764" s="25"/>
      <c r="AN764" s="25"/>
      <c r="AO764" s="25"/>
      <c r="AP764" s="25"/>
      <c r="AQ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57"/>
      <c r="AK765" s="25"/>
      <c r="AL765" s="25"/>
      <c r="AM765" s="25"/>
      <c r="AN765" s="25"/>
      <c r="AO765" s="25"/>
      <c r="AP765" s="25"/>
      <c r="AQ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57"/>
      <c r="AK766" s="25"/>
      <c r="AL766" s="25"/>
      <c r="AM766" s="25"/>
      <c r="AN766" s="25"/>
      <c r="AO766" s="25"/>
      <c r="AP766" s="25"/>
      <c r="AQ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57"/>
      <c r="AK767" s="25"/>
      <c r="AL767" s="25"/>
      <c r="AM767" s="25"/>
      <c r="AN767" s="25"/>
      <c r="AO767" s="25"/>
      <c r="AP767" s="25"/>
      <c r="AQ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57"/>
      <c r="AK768" s="25"/>
      <c r="AL768" s="25"/>
      <c r="AM768" s="25"/>
      <c r="AN768" s="25"/>
      <c r="AO768" s="25"/>
      <c r="AP768" s="25"/>
      <c r="AQ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57"/>
      <c r="AK769" s="25"/>
      <c r="AL769" s="25"/>
      <c r="AM769" s="25"/>
      <c r="AN769" s="25"/>
      <c r="AO769" s="25"/>
      <c r="AP769" s="25"/>
      <c r="AQ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57"/>
      <c r="AK770" s="25"/>
      <c r="AL770" s="25"/>
      <c r="AM770" s="25"/>
      <c r="AN770" s="25"/>
      <c r="AO770" s="25"/>
      <c r="AP770" s="25"/>
      <c r="AQ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57"/>
      <c r="AK771" s="25"/>
      <c r="AL771" s="25"/>
      <c r="AM771" s="25"/>
      <c r="AN771" s="25"/>
      <c r="AO771" s="25"/>
      <c r="AP771" s="25"/>
      <c r="AQ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57"/>
      <c r="AK772" s="25"/>
      <c r="AL772" s="25"/>
      <c r="AM772" s="25"/>
      <c r="AN772" s="25"/>
      <c r="AO772" s="25"/>
      <c r="AP772" s="25"/>
      <c r="AQ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57"/>
      <c r="AK773" s="25"/>
      <c r="AL773" s="25"/>
      <c r="AM773" s="25"/>
      <c r="AN773" s="25"/>
      <c r="AO773" s="25"/>
      <c r="AP773" s="25"/>
      <c r="AQ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57"/>
      <c r="AK774" s="25"/>
      <c r="AL774" s="25"/>
      <c r="AM774" s="25"/>
      <c r="AN774" s="25"/>
      <c r="AO774" s="25"/>
      <c r="AP774" s="25"/>
      <c r="AQ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57"/>
      <c r="AK775" s="25"/>
      <c r="AL775" s="25"/>
      <c r="AM775" s="25"/>
      <c r="AN775" s="25"/>
      <c r="AO775" s="25"/>
      <c r="AP775" s="25"/>
      <c r="AQ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57"/>
      <c r="AK776" s="25"/>
      <c r="AL776" s="25"/>
      <c r="AM776" s="25"/>
      <c r="AN776" s="25"/>
      <c r="AO776" s="25"/>
      <c r="AP776" s="25"/>
      <c r="AQ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57"/>
      <c r="AK777" s="25"/>
      <c r="AL777" s="25"/>
      <c r="AM777" s="25"/>
      <c r="AN777" s="25"/>
      <c r="AO777" s="25"/>
      <c r="AP777" s="25"/>
      <c r="AQ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57"/>
      <c r="AK778" s="25"/>
      <c r="AL778" s="25"/>
      <c r="AM778" s="25"/>
      <c r="AN778" s="25"/>
      <c r="AO778" s="25"/>
      <c r="AP778" s="25"/>
      <c r="AQ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57"/>
      <c r="AK779" s="25"/>
      <c r="AL779" s="25"/>
      <c r="AM779" s="25"/>
      <c r="AN779" s="25"/>
      <c r="AO779" s="25"/>
      <c r="AP779" s="25"/>
      <c r="AQ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57"/>
      <c r="AK780" s="25"/>
      <c r="AL780" s="25"/>
      <c r="AM780" s="25"/>
      <c r="AN780" s="25"/>
      <c r="AO780" s="25"/>
      <c r="AP780" s="25"/>
      <c r="AQ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57"/>
      <c r="AK781" s="25"/>
      <c r="AL781" s="25"/>
      <c r="AM781" s="25"/>
      <c r="AN781" s="25"/>
      <c r="AO781" s="25"/>
      <c r="AP781" s="25"/>
      <c r="AQ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57"/>
      <c r="AK782" s="25"/>
      <c r="AL782" s="25"/>
      <c r="AM782" s="25"/>
      <c r="AN782" s="25"/>
      <c r="AO782" s="25"/>
      <c r="AP782" s="25"/>
      <c r="AQ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57"/>
      <c r="AK783" s="25"/>
      <c r="AL783" s="25"/>
      <c r="AM783" s="25"/>
      <c r="AN783" s="25"/>
      <c r="AO783" s="25"/>
      <c r="AP783" s="25"/>
      <c r="AQ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57"/>
      <c r="AK784" s="25"/>
      <c r="AL784" s="25"/>
      <c r="AM784" s="25"/>
      <c r="AN784" s="25"/>
      <c r="AO784" s="25"/>
      <c r="AP784" s="25"/>
      <c r="AQ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57"/>
      <c r="AK785" s="25"/>
      <c r="AL785" s="25"/>
      <c r="AM785" s="25"/>
      <c r="AN785" s="25"/>
      <c r="AO785" s="25"/>
      <c r="AP785" s="25"/>
      <c r="AQ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57"/>
      <c r="AK786" s="25"/>
      <c r="AL786" s="25"/>
      <c r="AM786" s="25"/>
      <c r="AN786" s="25"/>
      <c r="AO786" s="25"/>
      <c r="AP786" s="25"/>
      <c r="AQ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57"/>
      <c r="AK787" s="25"/>
      <c r="AL787" s="25"/>
      <c r="AM787" s="25"/>
      <c r="AN787" s="25"/>
      <c r="AO787" s="25"/>
      <c r="AP787" s="25"/>
      <c r="AQ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57"/>
      <c r="AK788" s="25"/>
      <c r="AL788" s="25"/>
      <c r="AM788" s="25"/>
      <c r="AN788" s="25"/>
      <c r="AO788" s="25"/>
      <c r="AP788" s="25"/>
      <c r="AQ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57"/>
      <c r="AK789" s="25"/>
      <c r="AL789" s="25"/>
      <c r="AM789" s="25"/>
      <c r="AN789" s="25"/>
      <c r="AO789" s="25"/>
      <c r="AP789" s="25"/>
      <c r="AQ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57"/>
      <c r="AK790" s="25"/>
      <c r="AL790" s="25"/>
      <c r="AM790" s="25"/>
      <c r="AN790" s="25"/>
      <c r="AO790" s="25"/>
      <c r="AP790" s="25"/>
      <c r="AQ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57"/>
      <c r="AK791" s="25"/>
      <c r="AL791" s="25"/>
      <c r="AM791" s="25"/>
      <c r="AN791" s="25"/>
      <c r="AO791" s="25"/>
      <c r="AP791" s="25"/>
      <c r="AQ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57"/>
      <c r="AK792" s="25"/>
      <c r="AL792" s="25"/>
      <c r="AM792" s="25"/>
      <c r="AN792" s="25"/>
      <c r="AO792" s="25"/>
      <c r="AP792" s="25"/>
      <c r="AQ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57"/>
      <c r="AK793" s="25"/>
      <c r="AL793" s="25"/>
      <c r="AM793" s="25"/>
      <c r="AN793" s="25"/>
      <c r="AO793" s="25"/>
      <c r="AP793" s="25"/>
      <c r="AQ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57"/>
      <c r="AK794" s="25"/>
      <c r="AL794" s="25"/>
      <c r="AM794" s="25"/>
      <c r="AN794" s="25"/>
      <c r="AO794" s="25"/>
      <c r="AP794" s="25"/>
      <c r="AQ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57"/>
      <c r="AK795" s="25"/>
      <c r="AL795" s="25"/>
      <c r="AM795" s="25"/>
      <c r="AN795" s="25"/>
      <c r="AO795" s="25"/>
      <c r="AP795" s="25"/>
      <c r="AQ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57"/>
      <c r="AK796" s="25"/>
      <c r="AL796" s="25"/>
      <c r="AM796" s="25"/>
      <c r="AN796" s="25"/>
      <c r="AO796" s="25"/>
      <c r="AP796" s="25"/>
      <c r="AQ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57"/>
      <c r="AK797" s="25"/>
      <c r="AL797" s="25"/>
      <c r="AM797" s="25"/>
      <c r="AN797" s="25"/>
      <c r="AO797" s="25"/>
      <c r="AP797" s="25"/>
      <c r="AQ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57"/>
      <c r="AK798" s="25"/>
      <c r="AL798" s="25"/>
      <c r="AM798" s="25"/>
      <c r="AN798" s="25"/>
      <c r="AO798" s="25"/>
      <c r="AP798" s="25"/>
      <c r="AQ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57"/>
      <c r="AK799" s="25"/>
      <c r="AL799" s="25"/>
      <c r="AM799" s="25"/>
      <c r="AN799" s="25"/>
      <c r="AO799" s="25"/>
      <c r="AP799" s="25"/>
      <c r="AQ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57"/>
      <c r="AK800" s="25"/>
      <c r="AL800" s="25"/>
      <c r="AM800" s="25"/>
      <c r="AN800" s="25"/>
      <c r="AO800" s="25"/>
      <c r="AP800" s="25"/>
      <c r="AQ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57"/>
      <c r="AK801" s="25"/>
      <c r="AL801" s="25"/>
      <c r="AM801" s="25"/>
      <c r="AN801" s="25"/>
      <c r="AO801" s="25"/>
      <c r="AP801" s="25"/>
      <c r="AQ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57"/>
      <c r="AK802" s="25"/>
      <c r="AL802" s="25"/>
      <c r="AM802" s="25"/>
      <c r="AN802" s="25"/>
      <c r="AO802" s="25"/>
      <c r="AP802" s="25"/>
      <c r="AQ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57"/>
      <c r="AK803" s="25"/>
      <c r="AL803" s="25"/>
      <c r="AM803" s="25"/>
      <c r="AN803" s="25"/>
      <c r="AO803" s="25"/>
      <c r="AP803" s="25"/>
      <c r="AQ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57"/>
      <c r="AK804" s="25"/>
      <c r="AL804" s="25"/>
      <c r="AM804" s="25"/>
      <c r="AN804" s="25"/>
      <c r="AO804" s="25"/>
      <c r="AP804" s="25"/>
      <c r="AQ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57"/>
      <c r="AK805" s="25"/>
      <c r="AL805" s="25"/>
      <c r="AM805" s="25"/>
      <c r="AN805" s="25"/>
      <c r="AO805" s="25"/>
      <c r="AP805" s="25"/>
      <c r="AQ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57"/>
      <c r="AK806" s="25"/>
      <c r="AL806" s="25"/>
      <c r="AM806" s="25"/>
      <c r="AN806" s="25"/>
      <c r="AO806" s="25"/>
      <c r="AP806" s="25"/>
      <c r="AQ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57"/>
      <c r="AK807" s="25"/>
      <c r="AL807" s="25"/>
      <c r="AM807" s="25"/>
      <c r="AN807" s="25"/>
      <c r="AO807" s="25"/>
      <c r="AP807" s="25"/>
      <c r="AQ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57"/>
      <c r="AK808" s="25"/>
      <c r="AL808" s="25"/>
      <c r="AM808" s="25"/>
      <c r="AN808" s="25"/>
      <c r="AO808" s="25"/>
      <c r="AP808" s="25"/>
      <c r="AQ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57"/>
      <c r="AK809" s="25"/>
      <c r="AL809" s="25"/>
      <c r="AM809" s="25"/>
      <c r="AN809" s="25"/>
      <c r="AO809" s="25"/>
      <c r="AP809" s="25"/>
      <c r="AQ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57"/>
      <c r="AK810" s="25"/>
      <c r="AL810" s="25"/>
      <c r="AM810" s="25"/>
      <c r="AN810" s="25"/>
      <c r="AO810" s="25"/>
      <c r="AP810" s="25"/>
      <c r="AQ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57"/>
      <c r="AK811" s="25"/>
      <c r="AL811" s="25"/>
      <c r="AM811" s="25"/>
      <c r="AN811" s="25"/>
      <c r="AO811" s="25"/>
      <c r="AP811" s="25"/>
      <c r="AQ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57"/>
      <c r="AK812" s="25"/>
      <c r="AL812" s="25"/>
      <c r="AM812" s="25"/>
      <c r="AN812" s="25"/>
      <c r="AO812" s="25"/>
      <c r="AP812" s="25"/>
      <c r="AQ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57"/>
      <c r="AK813" s="25"/>
      <c r="AL813" s="25"/>
      <c r="AM813" s="25"/>
      <c r="AN813" s="25"/>
      <c r="AO813" s="25"/>
      <c r="AP813" s="25"/>
      <c r="AQ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57"/>
      <c r="AK814" s="25"/>
      <c r="AL814" s="25"/>
      <c r="AM814" s="25"/>
      <c r="AN814" s="25"/>
      <c r="AO814" s="25"/>
      <c r="AP814" s="25"/>
      <c r="AQ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57"/>
      <c r="AK815" s="25"/>
      <c r="AL815" s="25"/>
      <c r="AM815" s="25"/>
      <c r="AN815" s="25"/>
      <c r="AO815" s="25"/>
      <c r="AP815" s="25"/>
      <c r="AQ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57"/>
      <c r="AK816" s="25"/>
      <c r="AL816" s="25"/>
      <c r="AM816" s="25"/>
      <c r="AN816" s="25"/>
      <c r="AO816" s="25"/>
      <c r="AP816" s="25"/>
      <c r="AQ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57"/>
      <c r="AK817" s="25"/>
      <c r="AL817" s="25"/>
      <c r="AM817" s="25"/>
      <c r="AN817" s="25"/>
      <c r="AO817" s="25"/>
      <c r="AP817" s="25"/>
      <c r="AQ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57"/>
      <c r="AK818" s="25"/>
      <c r="AL818" s="25"/>
      <c r="AM818" s="25"/>
      <c r="AN818" s="25"/>
      <c r="AO818" s="25"/>
      <c r="AP818" s="25"/>
      <c r="AQ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57"/>
      <c r="AK819" s="25"/>
      <c r="AL819" s="25"/>
      <c r="AM819" s="25"/>
      <c r="AN819" s="25"/>
      <c r="AO819" s="25"/>
      <c r="AP819" s="25"/>
      <c r="AQ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57"/>
      <c r="AK820" s="25"/>
      <c r="AL820" s="25"/>
      <c r="AM820" s="25"/>
      <c r="AN820" s="25"/>
      <c r="AO820" s="25"/>
      <c r="AP820" s="25"/>
      <c r="AQ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57"/>
      <c r="AK821" s="25"/>
      <c r="AL821" s="25"/>
      <c r="AM821" s="25"/>
      <c r="AN821" s="25"/>
      <c r="AO821" s="25"/>
      <c r="AP821" s="25"/>
      <c r="AQ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57"/>
      <c r="AK822" s="25"/>
      <c r="AL822" s="25"/>
      <c r="AM822" s="25"/>
      <c r="AN822" s="25"/>
      <c r="AO822" s="25"/>
      <c r="AP822" s="25"/>
      <c r="AQ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57"/>
      <c r="AK823" s="25"/>
      <c r="AL823" s="25"/>
      <c r="AM823" s="25"/>
      <c r="AN823" s="25"/>
      <c r="AO823" s="25"/>
      <c r="AP823" s="25"/>
      <c r="AQ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57"/>
      <c r="AK824" s="25"/>
      <c r="AL824" s="25"/>
      <c r="AM824" s="25"/>
      <c r="AN824" s="25"/>
      <c r="AO824" s="25"/>
      <c r="AP824" s="25"/>
      <c r="AQ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57"/>
      <c r="AK825" s="25"/>
      <c r="AL825" s="25"/>
      <c r="AM825" s="25"/>
      <c r="AN825" s="25"/>
      <c r="AO825" s="25"/>
      <c r="AP825" s="25"/>
      <c r="AQ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57"/>
      <c r="AK826" s="25"/>
      <c r="AL826" s="25"/>
      <c r="AM826" s="25"/>
      <c r="AN826" s="25"/>
      <c r="AO826" s="25"/>
      <c r="AP826" s="25"/>
      <c r="AQ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57"/>
      <c r="AK827" s="25"/>
      <c r="AL827" s="25"/>
      <c r="AM827" s="25"/>
      <c r="AN827" s="25"/>
      <c r="AO827" s="25"/>
      <c r="AP827" s="25"/>
      <c r="AQ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57"/>
      <c r="AK828" s="25"/>
      <c r="AL828" s="25"/>
      <c r="AM828" s="25"/>
      <c r="AN828" s="25"/>
      <c r="AO828" s="25"/>
      <c r="AP828" s="25"/>
      <c r="AQ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57"/>
      <c r="AK829" s="25"/>
      <c r="AL829" s="25"/>
      <c r="AM829" s="25"/>
      <c r="AN829" s="25"/>
      <c r="AO829" s="25"/>
      <c r="AP829" s="25"/>
      <c r="AQ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57"/>
      <c r="AK830" s="25"/>
      <c r="AL830" s="25"/>
      <c r="AM830" s="25"/>
      <c r="AN830" s="25"/>
      <c r="AO830" s="25"/>
      <c r="AP830" s="25"/>
      <c r="AQ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57"/>
      <c r="AK831" s="25"/>
      <c r="AL831" s="25"/>
      <c r="AM831" s="25"/>
      <c r="AN831" s="25"/>
      <c r="AO831" s="25"/>
      <c r="AP831" s="25"/>
      <c r="AQ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57"/>
      <c r="AK832" s="25"/>
      <c r="AL832" s="25"/>
      <c r="AM832" s="25"/>
      <c r="AN832" s="25"/>
      <c r="AO832" s="25"/>
      <c r="AP832" s="25"/>
      <c r="AQ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57"/>
      <c r="AK833" s="25"/>
      <c r="AL833" s="25"/>
      <c r="AM833" s="25"/>
      <c r="AN833" s="25"/>
      <c r="AO833" s="25"/>
      <c r="AP833" s="25"/>
      <c r="AQ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57"/>
      <c r="AK834" s="25"/>
      <c r="AL834" s="25"/>
      <c r="AM834" s="25"/>
      <c r="AN834" s="25"/>
      <c r="AO834" s="25"/>
      <c r="AP834" s="25"/>
      <c r="AQ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57"/>
      <c r="AK835" s="25"/>
      <c r="AL835" s="25"/>
      <c r="AM835" s="25"/>
      <c r="AN835" s="25"/>
      <c r="AO835" s="25"/>
      <c r="AP835" s="25"/>
      <c r="AQ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57"/>
      <c r="AK836" s="25"/>
      <c r="AL836" s="25"/>
      <c r="AM836" s="25"/>
      <c r="AN836" s="25"/>
      <c r="AO836" s="25"/>
      <c r="AP836" s="25"/>
      <c r="AQ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57"/>
      <c r="AK837" s="25"/>
      <c r="AL837" s="25"/>
      <c r="AM837" s="25"/>
      <c r="AN837" s="25"/>
      <c r="AO837" s="25"/>
      <c r="AP837" s="25"/>
      <c r="AQ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57"/>
      <c r="AK838" s="25"/>
      <c r="AL838" s="25"/>
      <c r="AM838" s="25"/>
      <c r="AN838" s="25"/>
      <c r="AO838" s="25"/>
      <c r="AP838" s="25"/>
      <c r="AQ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57"/>
      <c r="AK839" s="25"/>
      <c r="AL839" s="25"/>
      <c r="AM839" s="25"/>
      <c r="AN839" s="25"/>
      <c r="AO839" s="25"/>
      <c r="AP839" s="25"/>
      <c r="AQ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57"/>
      <c r="AK840" s="25"/>
      <c r="AL840" s="25"/>
      <c r="AM840" s="25"/>
      <c r="AN840" s="25"/>
      <c r="AO840" s="25"/>
      <c r="AP840" s="25"/>
      <c r="AQ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57"/>
      <c r="AK841" s="25"/>
      <c r="AL841" s="25"/>
      <c r="AM841" s="25"/>
      <c r="AN841" s="25"/>
      <c r="AO841" s="25"/>
      <c r="AP841" s="25"/>
      <c r="AQ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57"/>
      <c r="AK842" s="25"/>
      <c r="AL842" s="25"/>
      <c r="AM842" s="25"/>
      <c r="AN842" s="25"/>
      <c r="AO842" s="25"/>
      <c r="AP842" s="25"/>
      <c r="AQ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57"/>
      <c r="AK843" s="25"/>
      <c r="AL843" s="25"/>
      <c r="AM843" s="25"/>
      <c r="AN843" s="25"/>
      <c r="AO843" s="25"/>
      <c r="AP843" s="25"/>
      <c r="AQ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57"/>
      <c r="AK844" s="25"/>
      <c r="AL844" s="25"/>
      <c r="AM844" s="25"/>
      <c r="AN844" s="25"/>
      <c r="AO844" s="25"/>
      <c r="AP844" s="25"/>
      <c r="AQ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57"/>
      <c r="AK845" s="25"/>
      <c r="AL845" s="25"/>
      <c r="AM845" s="25"/>
      <c r="AN845" s="25"/>
      <c r="AO845" s="25"/>
      <c r="AP845" s="25"/>
      <c r="AQ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57"/>
      <c r="AK846" s="25"/>
      <c r="AL846" s="25"/>
      <c r="AM846" s="25"/>
      <c r="AN846" s="25"/>
      <c r="AO846" s="25"/>
      <c r="AP846" s="25"/>
      <c r="AQ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57"/>
      <c r="AK847" s="25"/>
      <c r="AL847" s="25"/>
      <c r="AM847" s="25"/>
      <c r="AN847" s="25"/>
      <c r="AO847" s="25"/>
      <c r="AP847" s="25"/>
      <c r="AQ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57"/>
      <c r="AK848" s="25"/>
      <c r="AL848" s="25"/>
      <c r="AM848" s="25"/>
      <c r="AN848" s="25"/>
      <c r="AO848" s="25"/>
      <c r="AP848" s="25"/>
      <c r="AQ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57"/>
      <c r="AK849" s="25"/>
      <c r="AL849" s="25"/>
      <c r="AM849" s="25"/>
      <c r="AN849" s="25"/>
      <c r="AO849" s="25"/>
      <c r="AP849" s="25"/>
      <c r="AQ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57"/>
      <c r="AK850" s="25"/>
      <c r="AL850" s="25"/>
      <c r="AM850" s="25"/>
      <c r="AN850" s="25"/>
      <c r="AO850" s="25"/>
      <c r="AP850" s="25"/>
      <c r="AQ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57"/>
      <c r="AK851" s="25"/>
      <c r="AL851" s="25"/>
      <c r="AM851" s="25"/>
      <c r="AN851" s="25"/>
      <c r="AO851" s="25"/>
      <c r="AP851" s="25"/>
      <c r="AQ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57"/>
      <c r="AK852" s="25"/>
      <c r="AL852" s="25"/>
      <c r="AM852" s="25"/>
      <c r="AN852" s="25"/>
      <c r="AO852" s="25"/>
      <c r="AP852" s="25"/>
      <c r="AQ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57"/>
      <c r="AK853" s="25"/>
      <c r="AL853" s="25"/>
      <c r="AM853" s="25"/>
      <c r="AN853" s="25"/>
      <c r="AO853" s="25"/>
      <c r="AP853" s="25"/>
      <c r="AQ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57"/>
      <c r="AK854" s="25"/>
      <c r="AL854" s="25"/>
      <c r="AM854" s="25"/>
      <c r="AN854" s="25"/>
      <c r="AO854" s="25"/>
      <c r="AP854" s="25"/>
      <c r="AQ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57"/>
      <c r="AK855" s="25"/>
      <c r="AL855" s="25"/>
      <c r="AM855" s="25"/>
      <c r="AN855" s="25"/>
      <c r="AO855" s="25"/>
      <c r="AP855" s="25"/>
      <c r="AQ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57"/>
      <c r="AK856" s="25"/>
      <c r="AL856" s="25"/>
      <c r="AM856" s="25"/>
      <c r="AN856" s="25"/>
      <c r="AO856" s="25"/>
      <c r="AP856" s="25"/>
      <c r="AQ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57"/>
      <c r="AK857" s="25"/>
      <c r="AL857" s="25"/>
      <c r="AM857" s="25"/>
      <c r="AN857" s="25"/>
      <c r="AO857" s="25"/>
      <c r="AP857" s="25"/>
      <c r="AQ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57"/>
      <c r="AK858" s="25"/>
      <c r="AL858" s="25"/>
      <c r="AM858" s="25"/>
      <c r="AN858" s="25"/>
      <c r="AO858" s="25"/>
      <c r="AP858" s="25"/>
      <c r="AQ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57"/>
      <c r="AK859" s="25"/>
      <c r="AL859" s="25"/>
      <c r="AM859" s="25"/>
      <c r="AN859" s="25"/>
      <c r="AO859" s="25"/>
      <c r="AP859" s="25"/>
      <c r="AQ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57"/>
      <c r="AK860" s="25"/>
      <c r="AL860" s="25"/>
      <c r="AM860" s="25"/>
      <c r="AN860" s="25"/>
      <c r="AO860" s="25"/>
      <c r="AP860" s="25"/>
      <c r="AQ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57"/>
      <c r="AK861" s="25"/>
      <c r="AL861" s="25"/>
      <c r="AM861" s="25"/>
      <c r="AN861" s="25"/>
      <c r="AO861" s="25"/>
      <c r="AP861" s="25"/>
      <c r="AQ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57"/>
      <c r="AK862" s="25"/>
      <c r="AL862" s="25"/>
      <c r="AM862" s="25"/>
      <c r="AN862" s="25"/>
      <c r="AO862" s="25"/>
      <c r="AP862" s="25"/>
      <c r="AQ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57"/>
      <c r="AK863" s="25"/>
      <c r="AL863" s="25"/>
      <c r="AM863" s="25"/>
      <c r="AN863" s="25"/>
      <c r="AO863" s="25"/>
      <c r="AP863" s="25"/>
      <c r="AQ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57"/>
      <c r="AK864" s="25"/>
      <c r="AL864" s="25"/>
      <c r="AM864" s="25"/>
      <c r="AN864" s="25"/>
      <c r="AO864" s="25"/>
      <c r="AP864" s="25"/>
      <c r="AQ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57"/>
      <c r="AK865" s="25"/>
      <c r="AL865" s="25"/>
      <c r="AM865" s="25"/>
      <c r="AN865" s="25"/>
      <c r="AO865" s="25"/>
      <c r="AP865" s="25"/>
      <c r="AQ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57"/>
      <c r="AK866" s="25"/>
      <c r="AL866" s="25"/>
      <c r="AM866" s="25"/>
      <c r="AN866" s="25"/>
      <c r="AO866" s="25"/>
      <c r="AP866" s="25"/>
      <c r="AQ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57"/>
      <c r="AK867" s="25"/>
      <c r="AL867" s="25"/>
      <c r="AM867" s="25"/>
      <c r="AN867" s="25"/>
      <c r="AO867" s="25"/>
      <c r="AP867" s="25"/>
      <c r="AQ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57"/>
      <c r="AK868" s="25"/>
      <c r="AL868" s="25"/>
      <c r="AM868" s="25"/>
      <c r="AN868" s="25"/>
      <c r="AO868" s="25"/>
      <c r="AP868" s="25"/>
      <c r="AQ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57"/>
      <c r="AK869" s="25"/>
      <c r="AL869" s="25"/>
      <c r="AM869" s="25"/>
      <c r="AN869" s="25"/>
      <c r="AO869" s="25"/>
      <c r="AP869" s="25"/>
      <c r="AQ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57"/>
      <c r="AK870" s="25"/>
      <c r="AL870" s="25"/>
      <c r="AM870" s="25"/>
      <c r="AN870" s="25"/>
      <c r="AO870" s="25"/>
      <c r="AP870" s="25"/>
      <c r="AQ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57"/>
      <c r="AK871" s="25"/>
      <c r="AL871" s="25"/>
      <c r="AM871" s="25"/>
      <c r="AN871" s="25"/>
      <c r="AO871" s="25"/>
      <c r="AP871" s="25"/>
      <c r="AQ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57"/>
      <c r="AK872" s="25"/>
      <c r="AL872" s="25"/>
      <c r="AM872" s="25"/>
      <c r="AN872" s="25"/>
      <c r="AO872" s="25"/>
      <c r="AP872" s="25"/>
      <c r="AQ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57"/>
      <c r="AK873" s="25"/>
      <c r="AL873" s="25"/>
      <c r="AM873" s="25"/>
      <c r="AN873" s="25"/>
      <c r="AO873" s="25"/>
      <c r="AP873" s="25"/>
      <c r="AQ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57"/>
      <c r="AK874" s="25"/>
      <c r="AL874" s="25"/>
      <c r="AM874" s="25"/>
      <c r="AN874" s="25"/>
      <c r="AO874" s="25"/>
      <c r="AP874" s="25"/>
      <c r="AQ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57"/>
      <c r="AK875" s="25"/>
      <c r="AL875" s="25"/>
      <c r="AM875" s="25"/>
      <c r="AN875" s="25"/>
      <c r="AO875" s="25"/>
      <c r="AP875" s="25"/>
      <c r="AQ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57"/>
      <c r="AK876" s="25"/>
      <c r="AL876" s="25"/>
      <c r="AM876" s="25"/>
      <c r="AN876" s="25"/>
      <c r="AO876" s="25"/>
      <c r="AP876" s="25"/>
      <c r="AQ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57"/>
      <c r="AK877" s="25"/>
      <c r="AL877" s="25"/>
      <c r="AM877" s="25"/>
      <c r="AN877" s="25"/>
      <c r="AO877" s="25"/>
      <c r="AP877" s="25"/>
      <c r="AQ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57"/>
      <c r="AK878" s="25"/>
      <c r="AL878" s="25"/>
      <c r="AM878" s="25"/>
      <c r="AN878" s="25"/>
      <c r="AO878" s="25"/>
      <c r="AP878" s="25"/>
      <c r="AQ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57"/>
      <c r="AK879" s="25"/>
      <c r="AL879" s="25"/>
      <c r="AM879" s="25"/>
      <c r="AN879" s="25"/>
      <c r="AO879" s="25"/>
      <c r="AP879" s="25"/>
      <c r="AQ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57"/>
      <c r="AK880" s="25"/>
      <c r="AL880" s="25"/>
      <c r="AM880" s="25"/>
      <c r="AN880" s="25"/>
      <c r="AO880" s="25"/>
      <c r="AP880" s="25"/>
      <c r="AQ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57"/>
      <c r="AK881" s="25"/>
      <c r="AL881" s="25"/>
      <c r="AM881" s="25"/>
      <c r="AN881" s="25"/>
      <c r="AO881" s="25"/>
      <c r="AP881" s="25"/>
      <c r="AQ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57"/>
      <c r="AK882" s="25"/>
      <c r="AL882" s="25"/>
      <c r="AM882" s="25"/>
      <c r="AN882" s="25"/>
      <c r="AO882" s="25"/>
      <c r="AP882" s="25"/>
      <c r="AQ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57"/>
      <c r="AK883" s="25"/>
      <c r="AL883" s="25"/>
      <c r="AM883" s="25"/>
      <c r="AN883" s="25"/>
      <c r="AO883" s="25"/>
      <c r="AP883" s="25"/>
      <c r="AQ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57"/>
      <c r="AK884" s="25"/>
      <c r="AL884" s="25"/>
      <c r="AM884" s="25"/>
      <c r="AN884" s="25"/>
      <c r="AO884" s="25"/>
      <c r="AP884" s="25"/>
      <c r="AQ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57"/>
      <c r="AK885" s="25"/>
      <c r="AL885" s="25"/>
      <c r="AM885" s="25"/>
      <c r="AN885" s="25"/>
      <c r="AO885" s="25"/>
      <c r="AP885" s="25"/>
      <c r="AQ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57"/>
      <c r="AK886" s="25"/>
      <c r="AL886" s="25"/>
      <c r="AM886" s="25"/>
      <c r="AN886" s="25"/>
      <c r="AO886" s="25"/>
      <c r="AP886" s="25"/>
      <c r="AQ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57"/>
      <c r="AK887" s="25"/>
      <c r="AL887" s="25"/>
      <c r="AM887" s="25"/>
      <c r="AN887" s="25"/>
      <c r="AO887" s="25"/>
      <c r="AP887" s="25"/>
      <c r="AQ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57"/>
      <c r="AK888" s="25"/>
      <c r="AL888" s="25"/>
      <c r="AM888" s="25"/>
      <c r="AN888" s="25"/>
      <c r="AO888" s="25"/>
      <c r="AP888" s="25"/>
      <c r="AQ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57"/>
      <c r="AK889" s="25"/>
      <c r="AL889" s="25"/>
      <c r="AM889" s="25"/>
      <c r="AN889" s="25"/>
      <c r="AO889" s="25"/>
      <c r="AP889" s="25"/>
      <c r="AQ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57"/>
      <c r="AK890" s="25"/>
      <c r="AL890" s="25"/>
      <c r="AM890" s="25"/>
      <c r="AN890" s="25"/>
      <c r="AO890" s="25"/>
      <c r="AP890" s="25"/>
      <c r="AQ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57"/>
      <c r="AK891" s="25"/>
      <c r="AL891" s="25"/>
      <c r="AM891" s="25"/>
      <c r="AN891" s="25"/>
      <c r="AO891" s="25"/>
      <c r="AP891" s="25"/>
      <c r="AQ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57"/>
      <c r="AK892" s="25"/>
      <c r="AL892" s="25"/>
      <c r="AM892" s="25"/>
      <c r="AN892" s="25"/>
      <c r="AO892" s="25"/>
      <c r="AP892" s="25"/>
      <c r="AQ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57"/>
      <c r="AK893" s="25"/>
      <c r="AL893" s="25"/>
      <c r="AM893" s="25"/>
      <c r="AN893" s="25"/>
      <c r="AO893" s="25"/>
      <c r="AP893" s="25"/>
      <c r="AQ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57"/>
      <c r="AK894" s="25"/>
      <c r="AL894" s="25"/>
      <c r="AM894" s="25"/>
      <c r="AN894" s="25"/>
      <c r="AO894" s="25"/>
      <c r="AP894" s="25"/>
      <c r="AQ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57"/>
      <c r="AK895" s="25"/>
      <c r="AL895" s="25"/>
      <c r="AM895" s="25"/>
      <c r="AN895" s="25"/>
      <c r="AO895" s="25"/>
      <c r="AP895" s="25"/>
      <c r="AQ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57"/>
      <c r="AK896" s="25"/>
      <c r="AL896" s="25"/>
      <c r="AM896" s="25"/>
      <c r="AN896" s="25"/>
      <c r="AO896" s="25"/>
      <c r="AP896" s="25"/>
      <c r="AQ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57"/>
      <c r="AK897" s="25"/>
      <c r="AL897" s="25"/>
      <c r="AM897" s="25"/>
      <c r="AN897" s="25"/>
      <c r="AO897" s="25"/>
      <c r="AP897" s="25"/>
      <c r="AQ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57"/>
      <c r="AK898" s="25"/>
      <c r="AL898" s="25"/>
      <c r="AM898" s="25"/>
      <c r="AN898" s="25"/>
      <c r="AO898" s="25"/>
      <c r="AP898" s="25"/>
      <c r="AQ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57"/>
      <c r="AK899" s="25"/>
      <c r="AL899" s="25"/>
      <c r="AM899" s="25"/>
      <c r="AN899" s="25"/>
      <c r="AO899" s="25"/>
      <c r="AP899" s="25"/>
      <c r="AQ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57"/>
      <c r="AK900" s="25"/>
      <c r="AL900" s="25"/>
      <c r="AM900" s="25"/>
      <c r="AN900" s="25"/>
      <c r="AO900" s="25"/>
      <c r="AP900" s="25"/>
      <c r="AQ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57"/>
      <c r="AK901" s="25"/>
      <c r="AL901" s="25"/>
      <c r="AM901" s="25"/>
      <c r="AN901" s="25"/>
      <c r="AO901" s="25"/>
      <c r="AP901" s="25"/>
      <c r="AQ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57"/>
      <c r="AK902" s="25"/>
      <c r="AL902" s="25"/>
      <c r="AM902" s="25"/>
      <c r="AN902" s="25"/>
      <c r="AO902" s="25"/>
      <c r="AP902" s="25"/>
      <c r="AQ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57"/>
      <c r="AK903" s="25"/>
      <c r="AL903" s="25"/>
      <c r="AM903" s="25"/>
      <c r="AN903" s="25"/>
      <c r="AO903" s="25"/>
      <c r="AP903" s="25"/>
      <c r="AQ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57"/>
      <c r="AK904" s="25"/>
      <c r="AL904" s="25"/>
      <c r="AM904" s="25"/>
      <c r="AN904" s="25"/>
      <c r="AO904" s="25"/>
      <c r="AP904" s="25"/>
      <c r="AQ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57"/>
      <c r="AK905" s="25"/>
      <c r="AL905" s="25"/>
      <c r="AM905" s="25"/>
      <c r="AN905" s="25"/>
      <c r="AO905" s="25"/>
      <c r="AP905" s="25"/>
      <c r="AQ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57"/>
      <c r="AK906" s="25"/>
      <c r="AL906" s="25"/>
      <c r="AM906" s="25"/>
      <c r="AN906" s="25"/>
      <c r="AO906" s="25"/>
      <c r="AP906" s="25"/>
      <c r="AQ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57"/>
      <c r="AK907" s="25"/>
      <c r="AL907" s="25"/>
      <c r="AM907" s="25"/>
      <c r="AN907" s="25"/>
      <c r="AO907" s="25"/>
      <c r="AP907" s="25"/>
      <c r="AQ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57"/>
      <c r="AK908" s="25"/>
      <c r="AL908" s="25"/>
      <c r="AM908" s="25"/>
      <c r="AN908" s="25"/>
      <c r="AO908" s="25"/>
      <c r="AP908" s="25"/>
      <c r="AQ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57"/>
      <c r="AK909" s="25"/>
      <c r="AL909" s="25"/>
      <c r="AM909" s="25"/>
      <c r="AN909" s="25"/>
      <c r="AO909" s="25"/>
      <c r="AP909" s="25"/>
      <c r="AQ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57"/>
      <c r="AK910" s="25"/>
      <c r="AL910" s="25"/>
      <c r="AM910" s="25"/>
      <c r="AN910" s="25"/>
      <c r="AO910" s="25"/>
      <c r="AP910" s="25"/>
      <c r="AQ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57"/>
      <c r="AK911" s="25"/>
      <c r="AL911" s="25"/>
      <c r="AM911" s="25"/>
      <c r="AN911" s="25"/>
      <c r="AO911" s="25"/>
      <c r="AP911" s="25"/>
      <c r="AQ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57"/>
      <c r="AK912" s="25"/>
      <c r="AL912" s="25"/>
      <c r="AM912" s="25"/>
      <c r="AN912" s="25"/>
      <c r="AO912" s="25"/>
      <c r="AP912" s="25"/>
      <c r="AQ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57"/>
      <c r="AK913" s="25"/>
      <c r="AL913" s="25"/>
      <c r="AM913" s="25"/>
      <c r="AN913" s="25"/>
      <c r="AO913" s="25"/>
      <c r="AP913" s="25"/>
      <c r="AQ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57"/>
      <c r="AK914" s="25"/>
      <c r="AL914" s="25"/>
      <c r="AM914" s="25"/>
      <c r="AN914" s="25"/>
      <c r="AO914" s="25"/>
      <c r="AP914" s="25"/>
      <c r="AQ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57"/>
      <c r="AK915" s="25"/>
      <c r="AL915" s="25"/>
      <c r="AM915" s="25"/>
      <c r="AN915" s="25"/>
      <c r="AO915" s="25"/>
      <c r="AP915" s="25"/>
      <c r="AQ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57"/>
      <c r="AK916" s="25"/>
      <c r="AL916" s="25"/>
      <c r="AM916" s="25"/>
      <c r="AN916" s="25"/>
      <c r="AO916" s="25"/>
      <c r="AP916" s="25"/>
      <c r="AQ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57"/>
      <c r="AK917" s="25"/>
      <c r="AL917" s="25"/>
      <c r="AM917" s="25"/>
      <c r="AN917" s="25"/>
      <c r="AO917" s="25"/>
      <c r="AP917" s="25"/>
      <c r="AQ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57"/>
      <c r="AK918" s="25"/>
      <c r="AL918" s="25"/>
      <c r="AM918" s="25"/>
      <c r="AN918" s="25"/>
      <c r="AO918" s="25"/>
      <c r="AP918" s="25"/>
      <c r="AQ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57"/>
      <c r="AK919" s="25"/>
      <c r="AL919" s="25"/>
      <c r="AM919" s="25"/>
      <c r="AN919" s="25"/>
      <c r="AO919" s="25"/>
      <c r="AP919" s="25"/>
      <c r="AQ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57"/>
      <c r="AK920" s="25"/>
      <c r="AL920" s="25"/>
      <c r="AM920" s="25"/>
      <c r="AN920" s="25"/>
      <c r="AO920" s="25"/>
      <c r="AP920" s="25"/>
      <c r="AQ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57"/>
      <c r="AK921" s="25"/>
      <c r="AL921" s="25"/>
      <c r="AM921" s="25"/>
      <c r="AN921" s="25"/>
      <c r="AO921" s="25"/>
      <c r="AP921" s="25"/>
      <c r="AQ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57"/>
      <c r="AK922" s="25"/>
      <c r="AL922" s="25"/>
      <c r="AM922" s="25"/>
      <c r="AN922" s="25"/>
      <c r="AO922" s="25"/>
      <c r="AP922" s="25"/>
      <c r="AQ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57"/>
      <c r="AK923" s="25"/>
      <c r="AL923" s="25"/>
      <c r="AM923" s="25"/>
      <c r="AN923" s="25"/>
      <c r="AO923" s="25"/>
      <c r="AP923" s="25"/>
      <c r="AQ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57"/>
      <c r="AK924" s="25"/>
      <c r="AL924" s="25"/>
      <c r="AM924" s="25"/>
      <c r="AN924" s="25"/>
      <c r="AO924" s="25"/>
      <c r="AP924" s="25"/>
      <c r="AQ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57"/>
      <c r="AK925" s="25"/>
      <c r="AL925" s="25"/>
      <c r="AM925" s="25"/>
      <c r="AN925" s="25"/>
      <c r="AO925" s="25"/>
      <c r="AP925" s="25"/>
      <c r="AQ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57"/>
      <c r="AK926" s="25"/>
      <c r="AL926" s="25"/>
      <c r="AM926" s="25"/>
      <c r="AN926" s="25"/>
      <c r="AO926" s="25"/>
      <c r="AP926" s="25"/>
      <c r="AQ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57"/>
      <c r="AK927" s="25"/>
      <c r="AL927" s="25"/>
      <c r="AM927" s="25"/>
      <c r="AN927" s="25"/>
      <c r="AO927" s="25"/>
      <c r="AP927" s="25"/>
      <c r="AQ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57"/>
      <c r="AK928" s="25"/>
      <c r="AL928" s="25"/>
      <c r="AM928" s="25"/>
      <c r="AN928" s="25"/>
      <c r="AO928" s="25"/>
      <c r="AP928" s="25"/>
      <c r="AQ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57"/>
      <c r="AK929" s="25"/>
      <c r="AL929" s="25"/>
      <c r="AM929" s="25"/>
      <c r="AN929" s="25"/>
      <c r="AO929" s="25"/>
      <c r="AP929" s="25"/>
      <c r="AQ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57"/>
      <c r="AK930" s="25"/>
      <c r="AL930" s="25"/>
      <c r="AM930" s="25"/>
      <c r="AN930" s="25"/>
      <c r="AO930" s="25"/>
      <c r="AP930" s="25"/>
      <c r="AQ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57"/>
      <c r="AK931" s="25"/>
      <c r="AL931" s="25"/>
      <c r="AM931" s="25"/>
      <c r="AN931" s="25"/>
      <c r="AO931" s="25"/>
      <c r="AP931" s="25"/>
      <c r="AQ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57"/>
      <c r="AK932" s="25"/>
      <c r="AL932" s="25"/>
      <c r="AM932" s="25"/>
      <c r="AN932" s="25"/>
      <c r="AO932" s="25"/>
      <c r="AP932" s="25"/>
      <c r="AQ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57"/>
      <c r="AK933" s="25"/>
      <c r="AL933" s="25"/>
      <c r="AM933" s="25"/>
      <c r="AN933" s="25"/>
      <c r="AO933" s="25"/>
      <c r="AP933" s="25"/>
      <c r="AQ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57"/>
      <c r="AK934" s="25"/>
      <c r="AL934" s="25"/>
      <c r="AM934" s="25"/>
      <c r="AN934" s="25"/>
      <c r="AO934" s="25"/>
      <c r="AP934" s="25"/>
      <c r="AQ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57"/>
      <c r="AK935" s="25"/>
      <c r="AL935" s="25"/>
      <c r="AM935" s="25"/>
      <c r="AN935" s="25"/>
      <c r="AO935" s="25"/>
      <c r="AP935" s="25"/>
      <c r="AQ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57"/>
      <c r="AK936" s="25"/>
      <c r="AL936" s="25"/>
      <c r="AM936" s="25"/>
      <c r="AN936" s="25"/>
      <c r="AO936" s="25"/>
      <c r="AP936" s="25"/>
      <c r="AQ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57"/>
      <c r="AK937" s="25"/>
      <c r="AL937" s="25"/>
      <c r="AM937" s="25"/>
      <c r="AN937" s="25"/>
      <c r="AO937" s="25"/>
      <c r="AP937" s="25"/>
      <c r="AQ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57"/>
      <c r="AK938" s="25"/>
      <c r="AL938" s="25"/>
      <c r="AM938" s="25"/>
      <c r="AN938" s="25"/>
      <c r="AO938" s="25"/>
      <c r="AP938" s="25"/>
      <c r="AQ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57"/>
      <c r="AK939" s="25"/>
      <c r="AL939" s="25"/>
      <c r="AM939" s="25"/>
      <c r="AN939" s="25"/>
      <c r="AO939" s="25"/>
      <c r="AP939" s="25"/>
      <c r="AQ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57"/>
      <c r="AK940" s="25"/>
      <c r="AL940" s="25"/>
      <c r="AM940" s="25"/>
      <c r="AN940" s="25"/>
      <c r="AO940" s="25"/>
      <c r="AP940" s="25"/>
      <c r="AQ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57"/>
      <c r="AK941" s="25"/>
      <c r="AL941" s="25"/>
      <c r="AM941" s="25"/>
      <c r="AN941" s="25"/>
      <c r="AO941" s="25"/>
      <c r="AP941" s="25"/>
      <c r="AQ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57"/>
      <c r="AK942" s="25"/>
      <c r="AL942" s="25"/>
      <c r="AM942" s="25"/>
      <c r="AN942" s="25"/>
      <c r="AO942" s="25"/>
      <c r="AP942" s="25"/>
      <c r="AQ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57"/>
      <c r="AK943" s="25"/>
      <c r="AL943" s="25"/>
      <c r="AM943" s="25"/>
      <c r="AN943" s="25"/>
      <c r="AO943" s="25"/>
      <c r="AP943" s="25"/>
      <c r="AQ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57"/>
      <c r="AK944" s="25"/>
      <c r="AL944" s="25"/>
      <c r="AM944" s="25"/>
      <c r="AN944" s="25"/>
      <c r="AO944" s="25"/>
      <c r="AP944" s="25"/>
      <c r="AQ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57"/>
      <c r="AK945" s="25"/>
      <c r="AL945" s="25"/>
      <c r="AM945" s="25"/>
      <c r="AN945" s="25"/>
      <c r="AO945" s="25"/>
      <c r="AP945" s="25"/>
      <c r="AQ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57"/>
      <c r="AK946" s="25"/>
      <c r="AL946" s="25"/>
      <c r="AM946" s="25"/>
      <c r="AN946" s="25"/>
      <c r="AO946" s="25"/>
      <c r="AP946" s="25"/>
      <c r="AQ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57"/>
      <c r="AK947" s="25"/>
      <c r="AL947" s="25"/>
      <c r="AM947" s="25"/>
      <c r="AN947" s="25"/>
      <c r="AO947" s="25"/>
      <c r="AP947" s="25"/>
      <c r="AQ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57"/>
      <c r="AK948" s="25"/>
      <c r="AL948" s="25"/>
      <c r="AM948" s="25"/>
      <c r="AN948" s="25"/>
      <c r="AO948" s="25"/>
      <c r="AP948" s="25"/>
      <c r="AQ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57"/>
      <c r="AK949" s="25"/>
      <c r="AL949" s="25"/>
      <c r="AM949" s="25"/>
      <c r="AN949" s="25"/>
      <c r="AO949" s="25"/>
      <c r="AP949" s="25"/>
      <c r="AQ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57"/>
      <c r="AK950" s="25"/>
      <c r="AL950" s="25"/>
      <c r="AM950" s="25"/>
      <c r="AN950" s="25"/>
      <c r="AO950" s="25"/>
      <c r="AP950" s="25"/>
      <c r="AQ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57"/>
      <c r="AK951" s="25"/>
      <c r="AL951" s="25"/>
      <c r="AM951" s="25"/>
      <c r="AN951" s="25"/>
      <c r="AO951" s="25"/>
      <c r="AP951" s="25"/>
      <c r="AQ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57"/>
      <c r="AK952" s="25"/>
      <c r="AL952" s="25"/>
      <c r="AM952" s="25"/>
      <c r="AN952" s="25"/>
      <c r="AO952" s="25"/>
      <c r="AP952" s="25"/>
      <c r="AQ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57"/>
      <c r="AK953" s="25"/>
      <c r="AL953" s="25"/>
      <c r="AM953" s="25"/>
      <c r="AN953" s="25"/>
      <c r="AO953" s="25"/>
      <c r="AP953" s="25"/>
      <c r="AQ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57"/>
      <c r="AK954" s="25"/>
      <c r="AL954" s="25"/>
      <c r="AM954" s="25"/>
      <c r="AN954" s="25"/>
      <c r="AO954" s="25"/>
      <c r="AP954" s="25"/>
      <c r="AQ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57"/>
      <c r="AK955" s="25"/>
      <c r="AL955" s="25"/>
      <c r="AM955" s="25"/>
      <c r="AN955" s="25"/>
      <c r="AO955" s="25"/>
      <c r="AP955" s="25"/>
      <c r="AQ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57"/>
      <c r="AK956" s="25"/>
      <c r="AL956" s="25"/>
      <c r="AM956" s="25"/>
      <c r="AN956" s="25"/>
      <c r="AO956" s="25"/>
      <c r="AP956" s="25"/>
      <c r="AQ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57"/>
      <c r="AK957" s="25"/>
      <c r="AL957" s="25"/>
      <c r="AM957" s="25"/>
      <c r="AN957" s="25"/>
      <c r="AO957" s="25"/>
      <c r="AP957" s="25"/>
      <c r="AQ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57"/>
      <c r="AK958" s="25"/>
      <c r="AL958" s="25"/>
      <c r="AM958" s="25"/>
      <c r="AN958" s="25"/>
      <c r="AO958" s="25"/>
      <c r="AP958" s="25"/>
      <c r="AQ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57"/>
      <c r="AK959" s="25"/>
      <c r="AL959" s="25"/>
      <c r="AM959" s="25"/>
      <c r="AN959" s="25"/>
      <c r="AO959" s="25"/>
      <c r="AP959" s="25"/>
      <c r="AQ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57"/>
      <c r="AK960" s="25"/>
      <c r="AL960" s="25"/>
      <c r="AM960" s="25"/>
      <c r="AN960" s="25"/>
      <c r="AO960" s="25"/>
      <c r="AP960" s="25"/>
      <c r="AQ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57"/>
      <c r="AK961" s="25"/>
      <c r="AL961" s="25"/>
      <c r="AM961" s="25"/>
      <c r="AN961" s="25"/>
      <c r="AO961" s="25"/>
      <c r="AP961" s="25"/>
      <c r="AQ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57"/>
      <c r="AK962" s="25"/>
      <c r="AL962" s="25"/>
      <c r="AM962" s="25"/>
      <c r="AN962" s="25"/>
      <c r="AO962" s="25"/>
      <c r="AP962" s="25"/>
      <c r="AQ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57"/>
      <c r="AK963" s="25"/>
      <c r="AL963" s="25"/>
      <c r="AM963" s="25"/>
      <c r="AN963" s="25"/>
      <c r="AO963" s="25"/>
      <c r="AP963" s="25"/>
      <c r="AQ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57"/>
      <c r="AK964" s="25"/>
      <c r="AL964" s="25"/>
      <c r="AM964" s="25"/>
      <c r="AN964" s="25"/>
      <c r="AO964" s="25"/>
      <c r="AP964" s="25"/>
      <c r="AQ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57"/>
      <c r="AK965" s="25"/>
      <c r="AL965" s="25"/>
      <c r="AM965" s="25"/>
      <c r="AN965" s="25"/>
      <c r="AO965" s="25"/>
      <c r="AP965" s="25"/>
      <c r="AQ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57"/>
      <c r="AK966" s="25"/>
      <c r="AL966" s="25"/>
      <c r="AM966" s="25"/>
      <c r="AN966" s="25"/>
      <c r="AO966" s="25"/>
      <c r="AP966" s="25"/>
      <c r="AQ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57"/>
      <c r="AK967" s="25"/>
      <c r="AL967" s="25"/>
      <c r="AM967" s="25"/>
      <c r="AN967" s="25"/>
      <c r="AO967" s="25"/>
      <c r="AP967" s="25"/>
      <c r="AQ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57"/>
      <c r="AK968" s="25"/>
      <c r="AL968" s="25"/>
      <c r="AM968" s="25"/>
      <c r="AN968" s="25"/>
      <c r="AO968" s="25"/>
      <c r="AP968" s="25"/>
      <c r="AQ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57"/>
      <c r="AK969" s="25"/>
      <c r="AL969" s="25"/>
      <c r="AM969" s="25"/>
      <c r="AN969" s="25"/>
      <c r="AO969" s="25"/>
      <c r="AP969" s="25"/>
      <c r="AQ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57"/>
      <c r="AK970" s="25"/>
      <c r="AL970" s="25"/>
      <c r="AM970" s="25"/>
      <c r="AN970" s="25"/>
      <c r="AO970" s="25"/>
      <c r="AP970" s="25"/>
      <c r="AQ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57"/>
      <c r="AK971" s="25"/>
      <c r="AL971" s="25"/>
      <c r="AM971" s="25"/>
      <c r="AN971" s="25"/>
      <c r="AO971" s="25"/>
      <c r="AP971" s="25"/>
      <c r="AQ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57"/>
      <c r="AK972" s="25"/>
      <c r="AL972" s="25"/>
      <c r="AM972" s="25"/>
      <c r="AN972" s="25"/>
      <c r="AO972" s="25"/>
      <c r="AP972" s="25"/>
      <c r="AQ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57"/>
      <c r="AK973" s="25"/>
      <c r="AL973" s="25"/>
      <c r="AM973" s="25"/>
      <c r="AN973" s="25"/>
      <c r="AO973" s="25"/>
      <c r="AP973" s="25"/>
      <c r="AQ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57"/>
      <c r="AK974" s="25"/>
      <c r="AL974" s="25"/>
      <c r="AM974" s="25"/>
      <c r="AN974" s="25"/>
      <c r="AO974" s="25"/>
      <c r="AP974" s="25"/>
      <c r="AQ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57"/>
      <c r="AK975" s="25"/>
      <c r="AL975" s="25"/>
      <c r="AM975" s="25"/>
      <c r="AN975" s="25"/>
      <c r="AO975" s="25"/>
      <c r="AP975" s="25"/>
      <c r="AQ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57"/>
      <c r="AK976" s="25"/>
      <c r="AL976" s="25"/>
      <c r="AM976" s="25"/>
      <c r="AN976" s="25"/>
      <c r="AO976" s="25"/>
      <c r="AP976" s="25"/>
      <c r="AQ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57"/>
      <c r="AK977" s="25"/>
      <c r="AL977" s="25"/>
      <c r="AM977" s="25"/>
      <c r="AN977" s="25"/>
      <c r="AO977" s="25"/>
      <c r="AP977" s="25"/>
      <c r="AQ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57"/>
      <c r="AK978" s="25"/>
      <c r="AL978" s="25"/>
      <c r="AM978" s="25"/>
      <c r="AN978" s="25"/>
      <c r="AO978" s="25"/>
      <c r="AP978" s="25"/>
      <c r="AQ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57"/>
      <c r="AK979" s="25"/>
      <c r="AL979" s="25"/>
      <c r="AM979" s="25"/>
      <c r="AN979" s="25"/>
      <c r="AO979" s="25"/>
      <c r="AP979" s="25"/>
      <c r="AQ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57"/>
      <c r="AK980" s="25"/>
      <c r="AL980" s="25"/>
      <c r="AM980" s="25"/>
      <c r="AN980" s="25"/>
      <c r="AO980" s="25"/>
      <c r="AP980" s="25"/>
      <c r="AQ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57"/>
      <c r="AK981" s="25"/>
      <c r="AL981" s="25"/>
      <c r="AM981" s="25"/>
      <c r="AN981" s="25"/>
      <c r="AO981" s="25"/>
      <c r="AP981" s="25"/>
      <c r="AQ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57"/>
      <c r="AK982" s="25"/>
      <c r="AL982" s="25"/>
      <c r="AM982" s="25"/>
      <c r="AN982" s="25"/>
      <c r="AO982" s="25"/>
      <c r="AP982" s="25"/>
      <c r="AQ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57"/>
      <c r="AK983" s="25"/>
      <c r="AL983" s="25"/>
      <c r="AM983" s="25"/>
      <c r="AN983" s="25"/>
      <c r="AO983" s="25"/>
      <c r="AP983" s="25"/>
      <c r="AQ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57"/>
      <c r="AK984" s="25"/>
      <c r="AL984" s="25"/>
      <c r="AM984" s="25"/>
      <c r="AN984" s="25"/>
      <c r="AO984" s="25"/>
      <c r="AP984" s="25"/>
      <c r="AQ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57"/>
      <c r="AK985" s="25"/>
      <c r="AL985" s="25"/>
      <c r="AM985" s="25"/>
      <c r="AN985" s="25"/>
      <c r="AO985" s="25"/>
      <c r="AP985" s="25"/>
      <c r="AQ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57"/>
      <c r="AK986" s="25"/>
      <c r="AL986" s="25"/>
      <c r="AM986" s="25"/>
      <c r="AN986" s="25"/>
      <c r="AO986" s="25"/>
      <c r="AP986" s="25"/>
      <c r="AQ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57"/>
      <c r="AK987" s="25"/>
      <c r="AL987" s="25"/>
      <c r="AM987" s="25"/>
      <c r="AN987" s="25"/>
      <c r="AO987" s="25"/>
      <c r="AP987" s="25"/>
      <c r="AQ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57"/>
      <c r="AK988" s="25"/>
      <c r="AL988" s="25"/>
      <c r="AM988" s="25"/>
      <c r="AN988" s="25"/>
      <c r="AO988" s="25"/>
      <c r="AP988" s="25"/>
      <c r="AQ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57"/>
      <c r="AK989" s="25"/>
      <c r="AL989" s="25"/>
      <c r="AM989" s="25"/>
      <c r="AN989" s="25"/>
      <c r="AO989" s="25"/>
      <c r="AP989" s="25"/>
      <c r="AQ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57"/>
      <c r="AK990" s="25"/>
      <c r="AL990" s="25"/>
      <c r="AM990" s="25"/>
      <c r="AN990" s="25"/>
      <c r="AO990" s="25"/>
      <c r="AP990" s="25"/>
      <c r="AQ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57"/>
      <c r="AK991" s="25"/>
      <c r="AL991" s="25"/>
      <c r="AM991" s="25"/>
      <c r="AN991" s="25"/>
      <c r="AO991" s="25"/>
      <c r="AP991" s="25"/>
      <c r="AQ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57"/>
      <c r="AK992" s="25"/>
      <c r="AL992" s="25"/>
      <c r="AM992" s="25"/>
      <c r="AN992" s="25"/>
      <c r="AO992" s="25"/>
      <c r="AP992" s="25"/>
      <c r="AQ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57"/>
      <c r="AK993" s="25"/>
      <c r="AL993" s="25"/>
      <c r="AM993" s="25"/>
      <c r="AN993" s="25"/>
      <c r="AO993" s="25"/>
      <c r="AP993" s="25"/>
      <c r="AQ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57"/>
      <c r="AK994" s="25"/>
      <c r="AL994" s="25"/>
      <c r="AM994" s="25"/>
      <c r="AN994" s="25"/>
      <c r="AO994" s="25"/>
      <c r="AP994" s="25"/>
      <c r="AQ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57"/>
      <c r="AK995" s="25"/>
      <c r="AL995" s="25"/>
      <c r="AM995" s="25"/>
      <c r="AN995" s="25"/>
      <c r="AO995" s="25"/>
      <c r="AP995" s="25"/>
      <c r="AQ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57"/>
      <c r="AK996" s="25"/>
      <c r="AL996" s="25"/>
      <c r="AM996" s="25"/>
      <c r="AN996" s="25"/>
      <c r="AO996" s="25"/>
      <c r="AP996" s="25"/>
      <c r="AQ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57"/>
      <c r="AK997" s="25"/>
      <c r="AL997" s="25"/>
      <c r="AM997" s="25"/>
      <c r="AN997" s="25"/>
      <c r="AO997" s="25"/>
      <c r="AP997" s="25"/>
      <c r="AQ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57"/>
      <c r="AK998" s="25"/>
      <c r="AL998" s="25"/>
      <c r="AM998" s="25"/>
      <c r="AN998" s="25"/>
      <c r="AO998" s="25"/>
      <c r="AP998" s="25"/>
      <c r="AQ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57"/>
      <c r="AK999" s="25"/>
      <c r="AL999" s="25"/>
      <c r="AM999" s="25"/>
      <c r="AN999" s="25"/>
      <c r="AO999" s="25"/>
      <c r="AP999" s="25"/>
      <c r="AQ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57"/>
      <c r="AK1000" s="25"/>
      <c r="AL1000" s="25"/>
      <c r="AM1000" s="25"/>
      <c r="AN1000" s="25"/>
      <c r="AO1000" s="25"/>
      <c r="AP1000" s="25"/>
      <c r="AQ1000" s="25"/>
    </row>
  </sheetData>
  <mergeCells count="1">
    <mergeCell ref="B96:L96"/>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tr">
        <f>'Rute Tabel'!B2&amp;" -&gt; "&amp;'Rute Tabel'!E2</f>
        <v>UI -&gt; Universitas Indonesia Train Station</v>
      </c>
      <c r="B1" s="21" t="str">
        <f>'Rute Tabel'!E2&amp;" -&gt; "&amp;'Rute Tabel'!H2</f>
        <v>Universitas Indonesia Train Station -&gt; Cawang</v>
      </c>
      <c r="C1" s="21" t="str">
        <f>'Rute Tabel'!F2&amp;" -&gt; "&amp;'Rute Tabel'!I2</f>
        <v>Bogor Line -&gt; Jalan Kaki (Integrasi)</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8" t="s">
        <v>0</v>
      </c>
      <c r="B1" s="8" t="s">
        <v>366</v>
      </c>
      <c r="C1" s="8" t="s">
        <v>367</v>
      </c>
      <c r="D1" s="8" t="s">
        <v>20</v>
      </c>
      <c r="E1" s="8" t="s">
        <v>368</v>
      </c>
      <c r="F1" s="8" t="s">
        <v>369</v>
      </c>
    </row>
    <row r="2">
      <c r="A2" s="29" t="s">
        <v>7</v>
      </c>
      <c r="B2" s="29" t="s">
        <v>25</v>
      </c>
      <c r="C2" s="29" t="s">
        <v>127</v>
      </c>
      <c r="D2" s="31">
        <v>10000.0</v>
      </c>
      <c r="E2" s="29" t="s">
        <v>370</v>
      </c>
      <c r="F2" s="29" t="s">
        <v>371</v>
      </c>
    </row>
    <row r="3">
      <c r="A3" s="8" t="s">
        <v>16</v>
      </c>
      <c r="B3" s="8" t="s">
        <v>25</v>
      </c>
      <c r="C3" s="8" t="s">
        <v>69</v>
      </c>
      <c r="D3" s="10">
        <v>13500.0</v>
      </c>
      <c r="E3" s="8" t="s">
        <v>370</v>
      </c>
      <c r="F3" s="8" t="s">
        <v>371</v>
      </c>
    </row>
    <row r="4">
      <c r="A4" s="29" t="s">
        <v>226</v>
      </c>
      <c r="B4" s="29" t="s">
        <v>25</v>
      </c>
      <c r="C4" s="29" t="s">
        <v>53</v>
      </c>
      <c r="D4" s="31">
        <v>10000.0</v>
      </c>
      <c r="E4" s="29" t="s">
        <v>370</v>
      </c>
      <c r="F4" s="29" t="s">
        <v>371</v>
      </c>
    </row>
    <row r="5">
      <c r="A5" s="8" t="s">
        <v>23</v>
      </c>
      <c r="B5" s="8" t="s">
        <v>25</v>
      </c>
      <c r="C5" s="8" t="s">
        <v>53</v>
      </c>
      <c r="D5" s="10">
        <v>10000.0</v>
      </c>
      <c r="E5" s="8" t="s">
        <v>370</v>
      </c>
      <c r="F5" s="8" t="s">
        <v>371</v>
      </c>
    </row>
    <row r="6">
      <c r="A6" s="8" t="s">
        <v>229</v>
      </c>
      <c r="B6" s="8" t="s">
        <v>25</v>
      </c>
      <c r="C6" s="8" t="s">
        <v>53</v>
      </c>
      <c r="D6" s="10">
        <v>3500.0</v>
      </c>
      <c r="E6" s="8" t="s">
        <v>370</v>
      </c>
      <c r="F6" s="8" t="s">
        <v>371</v>
      </c>
    </row>
    <row r="7">
      <c r="A7" s="8" t="s">
        <v>28</v>
      </c>
      <c r="B7" s="8" t="s">
        <v>25</v>
      </c>
      <c r="C7" s="8" t="s">
        <v>53</v>
      </c>
      <c r="D7" s="10">
        <v>3500.0</v>
      </c>
      <c r="E7" s="8" t="s">
        <v>370</v>
      </c>
      <c r="F7" s="8" t="s">
        <v>371</v>
      </c>
    </row>
    <row r="8">
      <c r="A8" s="8" t="s">
        <v>31</v>
      </c>
      <c r="B8" s="8" t="s">
        <v>25</v>
      </c>
      <c r="C8" s="8" t="s">
        <v>69</v>
      </c>
      <c r="D8" s="10">
        <v>10500.0</v>
      </c>
      <c r="E8" s="8" t="s">
        <v>370</v>
      </c>
      <c r="F8" s="8" t="s">
        <v>371</v>
      </c>
    </row>
    <row r="9">
      <c r="A9" s="8" t="s">
        <v>34</v>
      </c>
      <c r="B9" s="8" t="s">
        <v>25</v>
      </c>
      <c r="C9" s="8" t="s">
        <v>115</v>
      </c>
      <c r="D9" s="10">
        <v>6500.0</v>
      </c>
      <c r="E9" s="8" t="s">
        <v>370</v>
      </c>
      <c r="F9" s="8" t="s">
        <v>371</v>
      </c>
    </row>
    <row r="10">
      <c r="A10" s="8" t="s">
        <v>109</v>
      </c>
      <c r="B10" s="8" t="s">
        <v>25</v>
      </c>
      <c r="C10" s="8" t="s">
        <v>127</v>
      </c>
      <c r="D10" s="10">
        <v>6500.0</v>
      </c>
      <c r="E10" s="8" t="s">
        <v>370</v>
      </c>
      <c r="F10" s="8" t="s">
        <v>371</v>
      </c>
    </row>
    <row r="11">
      <c r="A11" s="8" t="s">
        <v>233</v>
      </c>
      <c r="B11" s="8" t="s">
        <v>25</v>
      </c>
      <c r="C11" s="8" t="s">
        <v>127</v>
      </c>
      <c r="D11" s="10">
        <v>9500.0</v>
      </c>
      <c r="E11" s="8" t="s">
        <v>370</v>
      </c>
      <c r="F11" s="8" t="s">
        <v>371</v>
      </c>
    </row>
    <row r="12">
      <c r="A12" s="8" t="s">
        <v>41</v>
      </c>
      <c r="B12" s="8" t="s">
        <v>25</v>
      </c>
      <c r="C12" s="8" t="s">
        <v>69</v>
      </c>
      <c r="D12" s="10">
        <v>14000.0</v>
      </c>
      <c r="E12" s="8" t="s">
        <v>370</v>
      </c>
      <c r="F12" s="8" t="s">
        <v>371</v>
      </c>
    </row>
    <row r="13">
      <c r="A13" s="8" t="s">
        <v>235</v>
      </c>
      <c r="B13" s="8" t="s">
        <v>25</v>
      </c>
      <c r="C13" s="8" t="s">
        <v>53</v>
      </c>
      <c r="D13" s="10">
        <v>9500.0</v>
      </c>
      <c r="E13" s="8" t="s">
        <v>370</v>
      </c>
      <c r="F13" s="8" t="s">
        <v>371</v>
      </c>
    </row>
    <row r="14">
      <c r="A14" s="8" t="s">
        <v>48</v>
      </c>
      <c r="B14" s="8" t="s">
        <v>25</v>
      </c>
      <c r="C14" s="8" t="s">
        <v>53</v>
      </c>
      <c r="D14" s="10">
        <v>9500.0</v>
      </c>
      <c r="E14" s="8" t="s">
        <v>370</v>
      </c>
      <c r="F14" s="8" t="s">
        <v>371</v>
      </c>
    </row>
    <row r="15">
      <c r="A15" s="8" t="s">
        <v>237</v>
      </c>
      <c r="B15" s="8" t="s">
        <v>25</v>
      </c>
      <c r="C15" s="8" t="s">
        <v>53</v>
      </c>
      <c r="D15" s="10">
        <v>6500.0</v>
      </c>
      <c r="E15" s="8" t="s">
        <v>370</v>
      </c>
      <c r="F15" s="8" t="s">
        <v>371</v>
      </c>
    </row>
    <row r="16">
      <c r="A16" s="8" t="s">
        <v>54</v>
      </c>
      <c r="B16" s="8" t="s">
        <v>25</v>
      </c>
      <c r="C16" s="8" t="s">
        <v>53</v>
      </c>
      <c r="D16" s="10">
        <v>6500.0</v>
      </c>
      <c r="E16" s="8" t="s">
        <v>370</v>
      </c>
      <c r="F16" s="8" t="s">
        <v>371</v>
      </c>
    </row>
    <row r="17">
      <c r="A17" s="8" t="s">
        <v>58</v>
      </c>
      <c r="B17" s="8" t="s">
        <v>25</v>
      </c>
      <c r="C17" s="8" t="s">
        <v>115</v>
      </c>
      <c r="D17" s="10">
        <v>6500.0</v>
      </c>
      <c r="E17" s="8" t="s">
        <v>370</v>
      </c>
      <c r="F17" s="8" t="s">
        <v>371</v>
      </c>
    </row>
    <row r="18">
      <c r="A18" s="8" t="s">
        <v>123</v>
      </c>
      <c r="B18" s="8" t="s">
        <v>25</v>
      </c>
      <c r="C18" s="8" t="s">
        <v>127</v>
      </c>
      <c r="D18" s="10">
        <v>6500.0</v>
      </c>
      <c r="E18" s="8" t="s">
        <v>370</v>
      </c>
      <c r="F18" s="8" t="s">
        <v>371</v>
      </c>
    </row>
    <row r="19">
      <c r="A19" s="8" t="s">
        <v>62</v>
      </c>
      <c r="B19" s="8" t="s">
        <v>25</v>
      </c>
      <c r="C19" s="8" t="s">
        <v>69</v>
      </c>
      <c r="D19" s="10">
        <v>13500.0</v>
      </c>
      <c r="E19" s="8" t="s">
        <v>370</v>
      </c>
      <c r="F19" s="8" t="s">
        <v>371</v>
      </c>
    </row>
    <row r="20">
      <c r="A20" s="8" t="s">
        <v>67</v>
      </c>
      <c r="B20" s="8" t="s">
        <v>25</v>
      </c>
      <c r="C20" s="8" t="s">
        <v>69</v>
      </c>
      <c r="D20" s="10">
        <v>11500.0</v>
      </c>
      <c r="E20" s="8" t="s">
        <v>370</v>
      </c>
      <c r="F20" s="8" t="s">
        <v>371</v>
      </c>
    </row>
    <row r="21">
      <c r="A21" s="8" t="s">
        <v>70</v>
      </c>
      <c r="B21" s="8" t="s">
        <v>25</v>
      </c>
      <c r="C21" s="8" t="s">
        <v>189</v>
      </c>
      <c r="D21" s="10">
        <v>6500.0</v>
      </c>
      <c r="E21" s="8" t="s">
        <v>370</v>
      </c>
      <c r="F21" s="8" t="s">
        <v>371</v>
      </c>
    </row>
    <row r="22">
      <c r="A22" s="8" t="s">
        <v>74</v>
      </c>
      <c r="B22" s="8" t="s">
        <v>25</v>
      </c>
      <c r="C22" s="8" t="s">
        <v>52</v>
      </c>
      <c r="D22" s="10">
        <v>6500.0</v>
      </c>
      <c r="E22" s="8" t="s">
        <v>370</v>
      </c>
      <c r="F22" s="8" t="s">
        <v>371</v>
      </c>
    </row>
    <row r="23">
      <c r="A23" s="8" t="s">
        <v>76</v>
      </c>
      <c r="B23" s="8" t="s">
        <v>25</v>
      </c>
      <c r="C23" s="8" t="s">
        <v>115</v>
      </c>
      <c r="D23" s="10">
        <v>6500.0</v>
      </c>
      <c r="E23" s="8" t="s">
        <v>370</v>
      </c>
      <c r="F23" s="8" t="s">
        <v>371</v>
      </c>
    </row>
    <row r="24">
      <c r="A24" s="8" t="s">
        <v>78</v>
      </c>
      <c r="B24" s="8" t="s">
        <v>25</v>
      </c>
      <c r="C24" s="8" t="s">
        <v>52</v>
      </c>
      <c r="D24" s="10">
        <v>6500.0</v>
      </c>
      <c r="E24" s="8" t="s">
        <v>370</v>
      </c>
      <c r="F24" s="8" t="s">
        <v>371</v>
      </c>
    </row>
    <row r="25">
      <c r="A25" s="8" t="s">
        <v>81</v>
      </c>
      <c r="B25" s="8" t="s">
        <v>25</v>
      </c>
      <c r="C25" s="8" t="s">
        <v>52</v>
      </c>
      <c r="D25" s="10">
        <v>6500.0</v>
      </c>
      <c r="E25" s="8" t="s">
        <v>370</v>
      </c>
      <c r="F25" s="8" t="s">
        <v>371</v>
      </c>
    </row>
    <row r="26">
      <c r="A26" s="8" t="s">
        <v>83</v>
      </c>
      <c r="B26" s="8" t="s">
        <v>25</v>
      </c>
      <c r="C26" s="8" t="s">
        <v>115</v>
      </c>
      <c r="D26" s="10">
        <v>6500.0</v>
      </c>
      <c r="E26" s="8" t="s">
        <v>370</v>
      </c>
      <c r="F26" s="8" t="s">
        <v>371</v>
      </c>
    </row>
    <row r="27">
      <c r="A27" s="8" t="s">
        <v>85</v>
      </c>
      <c r="B27" s="8" t="s">
        <v>25</v>
      </c>
      <c r="C27" s="8" t="s">
        <v>53</v>
      </c>
      <c r="D27" s="10">
        <v>6500.0</v>
      </c>
      <c r="E27" s="8" t="s">
        <v>370</v>
      </c>
      <c r="F27" s="8" t="s">
        <v>371</v>
      </c>
    </row>
    <row r="28">
      <c r="A28" s="8" t="s">
        <v>88</v>
      </c>
      <c r="B28" s="8" t="s">
        <v>25</v>
      </c>
      <c r="C28" s="8" t="s">
        <v>52</v>
      </c>
      <c r="D28" s="10">
        <v>6500.0</v>
      </c>
      <c r="E28" s="8" t="s">
        <v>370</v>
      </c>
      <c r="F28" s="8" t="s">
        <v>371</v>
      </c>
    </row>
    <row r="29">
      <c r="A29" s="8" t="s">
        <v>90</v>
      </c>
      <c r="B29" s="8" t="s">
        <v>25</v>
      </c>
      <c r="C29" s="8" t="s">
        <v>115</v>
      </c>
      <c r="D29" s="10">
        <v>6500.0</v>
      </c>
      <c r="E29" s="8" t="s">
        <v>370</v>
      </c>
      <c r="F29" s="8" t="s">
        <v>371</v>
      </c>
    </row>
    <row r="30">
      <c r="A30" s="8" t="s">
        <v>92</v>
      </c>
      <c r="B30" s="8" t="s">
        <v>25</v>
      </c>
      <c r="C30" s="8" t="s">
        <v>53</v>
      </c>
      <c r="D30" s="10">
        <v>6500.0</v>
      </c>
      <c r="E30" s="8" t="s">
        <v>370</v>
      </c>
      <c r="F30" s="8" t="s">
        <v>371</v>
      </c>
    </row>
    <row r="31">
      <c r="A31" s="8" t="s">
        <v>96</v>
      </c>
      <c r="B31" s="8" t="s">
        <v>25</v>
      </c>
      <c r="C31" s="8" t="s">
        <v>53</v>
      </c>
      <c r="D31" s="10">
        <v>6500.0</v>
      </c>
      <c r="E31" s="8" t="s">
        <v>370</v>
      </c>
      <c r="F31" s="8" t="s">
        <v>371</v>
      </c>
    </row>
    <row r="32">
      <c r="A32" s="8" t="s">
        <v>99</v>
      </c>
      <c r="B32" s="8" t="s">
        <v>25</v>
      </c>
      <c r="C32" s="8" t="s">
        <v>52</v>
      </c>
      <c r="D32" s="10">
        <v>6500.0</v>
      </c>
      <c r="E32" s="8" t="s">
        <v>370</v>
      </c>
      <c r="F32" s="8" t="s">
        <v>371</v>
      </c>
    </row>
    <row r="33">
      <c r="A33" s="8" t="s">
        <v>102</v>
      </c>
      <c r="B33" s="8" t="s">
        <v>25</v>
      </c>
      <c r="C33" s="8" t="s">
        <v>218</v>
      </c>
      <c r="D33" s="10">
        <v>6500.0</v>
      </c>
      <c r="E33" s="8" t="s">
        <v>370</v>
      </c>
      <c r="F33" s="8" t="s">
        <v>371</v>
      </c>
    </row>
    <row r="34">
      <c r="A34" s="8" t="s">
        <v>104</v>
      </c>
      <c r="B34" s="8" t="s">
        <v>25</v>
      </c>
      <c r="C34" s="8" t="s">
        <v>127</v>
      </c>
      <c r="D34" s="10">
        <v>12500.0</v>
      </c>
      <c r="E34" s="8" t="s">
        <v>370</v>
      </c>
      <c r="F34" s="8" t="s">
        <v>371</v>
      </c>
    </row>
    <row r="35">
      <c r="A35" s="8" t="s">
        <v>106</v>
      </c>
      <c r="B35" s="8" t="s">
        <v>25</v>
      </c>
      <c r="C35" s="8" t="s">
        <v>69</v>
      </c>
      <c r="D35" s="10">
        <v>17000.0</v>
      </c>
      <c r="E35" s="8" t="s">
        <v>370</v>
      </c>
      <c r="F35" s="8" t="s">
        <v>371</v>
      </c>
    </row>
    <row r="36">
      <c r="A36" s="8" t="s">
        <v>249</v>
      </c>
      <c r="B36" s="8" t="s">
        <v>25</v>
      </c>
      <c r="C36" s="8" t="s">
        <v>53</v>
      </c>
      <c r="D36" s="10">
        <v>12500.0</v>
      </c>
      <c r="E36" s="8" t="s">
        <v>370</v>
      </c>
      <c r="F36" s="8" t="s">
        <v>371</v>
      </c>
    </row>
    <row r="37">
      <c r="A37" s="8" t="s">
        <v>111</v>
      </c>
      <c r="B37" s="8" t="s">
        <v>25</v>
      </c>
      <c r="C37" s="8" t="s">
        <v>53</v>
      </c>
      <c r="D37" s="10">
        <v>12500.0</v>
      </c>
      <c r="E37" s="8" t="s">
        <v>370</v>
      </c>
      <c r="F37" s="8" t="s">
        <v>371</v>
      </c>
    </row>
    <row r="38">
      <c r="A38" s="8" t="s">
        <v>251</v>
      </c>
      <c r="B38" s="8" t="s">
        <v>25</v>
      </c>
      <c r="C38" s="8" t="s">
        <v>53</v>
      </c>
      <c r="D38" s="10">
        <v>9500.0</v>
      </c>
      <c r="E38" s="8" t="s">
        <v>370</v>
      </c>
      <c r="F38" s="8" t="s">
        <v>371</v>
      </c>
    </row>
    <row r="39">
      <c r="A39" s="8" t="s">
        <v>117</v>
      </c>
      <c r="B39" s="8" t="s">
        <v>25</v>
      </c>
      <c r="C39" s="8" t="s">
        <v>53</v>
      </c>
      <c r="D39" s="10">
        <v>9500.0</v>
      </c>
      <c r="E39" s="8" t="s">
        <v>370</v>
      </c>
      <c r="F39" s="8" t="s">
        <v>371</v>
      </c>
    </row>
    <row r="40">
      <c r="A40" s="8" t="s">
        <v>119</v>
      </c>
      <c r="B40" s="8" t="s">
        <v>25</v>
      </c>
      <c r="C40" s="8" t="s">
        <v>189</v>
      </c>
      <c r="D40" s="10">
        <v>12440.8</v>
      </c>
      <c r="E40" s="8" t="s">
        <v>370</v>
      </c>
      <c r="F40" s="8" t="s">
        <v>371</v>
      </c>
    </row>
    <row r="41">
      <c r="A41" s="8" t="s">
        <v>121</v>
      </c>
      <c r="B41" s="8" t="s">
        <v>25</v>
      </c>
      <c r="C41" s="8" t="s">
        <v>52</v>
      </c>
      <c r="D41" s="10">
        <v>12440.8</v>
      </c>
      <c r="E41" s="8" t="s">
        <v>370</v>
      </c>
      <c r="F41" s="8" t="s">
        <v>371</v>
      </c>
    </row>
    <row r="42">
      <c r="A42" s="8" t="s">
        <v>124</v>
      </c>
      <c r="B42" s="8" t="s">
        <v>25</v>
      </c>
      <c r="C42" s="8" t="s">
        <v>115</v>
      </c>
      <c r="D42" s="10">
        <v>12440.8</v>
      </c>
      <c r="E42" s="8" t="s">
        <v>370</v>
      </c>
      <c r="F42" s="8" t="s">
        <v>371</v>
      </c>
    </row>
    <row r="43">
      <c r="A43" s="8" t="s">
        <v>126</v>
      </c>
      <c r="B43" s="8" t="s">
        <v>25</v>
      </c>
      <c r="C43" s="8" t="s">
        <v>52</v>
      </c>
      <c r="D43" s="10">
        <v>12440.8</v>
      </c>
      <c r="E43" s="8" t="s">
        <v>370</v>
      </c>
      <c r="F43" s="8" t="s">
        <v>371</v>
      </c>
    </row>
    <row r="44">
      <c r="A44" s="8" t="s">
        <v>130</v>
      </c>
      <c r="B44" s="8" t="s">
        <v>25</v>
      </c>
      <c r="C44" s="8" t="s">
        <v>52</v>
      </c>
      <c r="D44" s="10">
        <v>12440.8</v>
      </c>
      <c r="E44" s="8" t="s">
        <v>370</v>
      </c>
      <c r="F44" s="8" t="s">
        <v>371</v>
      </c>
    </row>
    <row r="45">
      <c r="A45" s="8" t="s">
        <v>132</v>
      </c>
      <c r="B45" s="8" t="s">
        <v>25</v>
      </c>
      <c r="C45" s="8" t="s">
        <v>115</v>
      </c>
      <c r="D45" s="10">
        <v>12440.8</v>
      </c>
      <c r="E45" s="8" t="s">
        <v>370</v>
      </c>
      <c r="F45" s="8" t="s">
        <v>371</v>
      </c>
    </row>
    <row r="46">
      <c r="A46" s="8" t="s">
        <v>134</v>
      </c>
      <c r="B46" s="8" t="s">
        <v>25</v>
      </c>
      <c r="C46" s="8" t="s">
        <v>53</v>
      </c>
      <c r="D46" s="10">
        <v>12440.8</v>
      </c>
      <c r="E46" s="8" t="s">
        <v>370</v>
      </c>
      <c r="F46" s="8" t="s">
        <v>371</v>
      </c>
    </row>
    <row r="47">
      <c r="A47" s="8" t="s">
        <v>136</v>
      </c>
      <c r="B47" s="8" t="s">
        <v>25</v>
      </c>
      <c r="C47" s="8" t="s">
        <v>189</v>
      </c>
      <c r="D47" s="10">
        <v>3500.0</v>
      </c>
      <c r="E47" s="8" t="s">
        <v>370</v>
      </c>
      <c r="F47" s="8" t="s">
        <v>371</v>
      </c>
    </row>
    <row r="48">
      <c r="A48" s="8" t="s">
        <v>138</v>
      </c>
      <c r="B48" s="8" t="s">
        <v>25</v>
      </c>
      <c r="C48" s="8" t="s">
        <v>52</v>
      </c>
      <c r="D48" s="10">
        <v>3500.0</v>
      </c>
      <c r="E48" s="8" t="s">
        <v>370</v>
      </c>
      <c r="F48" s="8" t="s">
        <v>371</v>
      </c>
    </row>
    <row r="49">
      <c r="A49" s="8" t="s">
        <v>140</v>
      </c>
      <c r="B49" s="8" t="s">
        <v>25</v>
      </c>
      <c r="C49" s="8" t="s">
        <v>115</v>
      </c>
      <c r="D49" s="10">
        <v>3500.0</v>
      </c>
      <c r="E49" s="8" t="s">
        <v>370</v>
      </c>
      <c r="F49" s="8" t="s">
        <v>371</v>
      </c>
    </row>
    <row r="50">
      <c r="A50" s="8" t="s">
        <v>142</v>
      </c>
      <c r="B50" s="8" t="s">
        <v>25</v>
      </c>
      <c r="C50" s="8" t="s">
        <v>52</v>
      </c>
      <c r="D50" s="10">
        <v>3500.0</v>
      </c>
      <c r="E50" s="8" t="s">
        <v>370</v>
      </c>
      <c r="F50" s="8" t="s">
        <v>371</v>
      </c>
    </row>
    <row r="51">
      <c r="A51" s="8" t="s">
        <v>144</v>
      </c>
      <c r="B51" s="8" t="s">
        <v>25</v>
      </c>
      <c r="C51" s="8" t="s">
        <v>52</v>
      </c>
      <c r="D51" s="10">
        <v>3500.0</v>
      </c>
      <c r="E51" s="8" t="s">
        <v>370</v>
      </c>
      <c r="F51" s="8" t="s">
        <v>371</v>
      </c>
    </row>
    <row r="52">
      <c r="A52" s="8" t="s">
        <v>146</v>
      </c>
      <c r="B52" s="8" t="s">
        <v>25</v>
      </c>
      <c r="C52" s="8" t="s">
        <v>115</v>
      </c>
      <c r="D52" s="10">
        <v>3500.0</v>
      </c>
      <c r="E52" s="8" t="s">
        <v>370</v>
      </c>
      <c r="F52" s="8" t="s">
        <v>371</v>
      </c>
    </row>
    <row r="53">
      <c r="A53" s="8" t="s">
        <v>148</v>
      </c>
      <c r="B53" s="8" t="s">
        <v>25</v>
      </c>
      <c r="C53" s="8" t="s">
        <v>53</v>
      </c>
      <c r="D53" s="10">
        <v>3500.0</v>
      </c>
      <c r="E53" s="8" t="s">
        <v>370</v>
      </c>
      <c r="F53" s="8" t="s">
        <v>371</v>
      </c>
    </row>
    <row r="54">
      <c r="A54" s="8" t="s">
        <v>150</v>
      </c>
      <c r="B54" s="8" t="s">
        <v>25</v>
      </c>
      <c r="C54" s="8" t="s">
        <v>52</v>
      </c>
      <c r="D54" s="10">
        <v>3500.0</v>
      </c>
      <c r="E54" s="8" t="s">
        <v>370</v>
      </c>
      <c r="F54" s="8" t="s">
        <v>371</v>
      </c>
    </row>
    <row r="55">
      <c r="A55" s="8" t="s">
        <v>153</v>
      </c>
      <c r="B55" s="8" t="s">
        <v>25</v>
      </c>
      <c r="C55" s="8" t="s">
        <v>115</v>
      </c>
      <c r="D55" s="10">
        <v>3500.0</v>
      </c>
      <c r="E55" s="8" t="s">
        <v>370</v>
      </c>
      <c r="F55" s="8" t="s">
        <v>371</v>
      </c>
    </row>
    <row r="56">
      <c r="A56" s="8" t="s">
        <v>156</v>
      </c>
      <c r="B56" s="8" t="s">
        <v>25</v>
      </c>
      <c r="C56" s="8" t="s">
        <v>53</v>
      </c>
      <c r="D56" s="10">
        <v>3500.0</v>
      </c>
      <c r="E56" s="8" t="s">
        <v>370</v>
      </c>
      <c r="F56" s="8" t="s">
        <v>371</v>
      </c>
    </row>
    <row r="57">
      <c r="A57" s="8" t="s">
        <v>158</v>
      </c>
      <c r="B57" s="8" t="s">
        <v>25</v>
      </c>
      <c r="C57" s="8" t="s">
        <v>53</v>
      </c>
      <c r="D57" s="10">
        <v>3500.0</v>
      </c>
      <c r="E57" s="8" t="s">
        <v>370</v>
      </c>
      <c r="F57" s="8" t="s">
        <v>371</v>
      </c>
    </row>
    <row r="58">
      <c r="A58" s="8" t="s">
        <v>160</v>
      </c>
      <c r="B58" s="8" t="s">
        <v>25</v>
      </c>
      <c r="C58" s="8" t="s">
        <v>52</v>
      </c>
      <c r="D58" s="10">
        <v>3500.0</v>
      </c>
      <c r="E58" s="8" t="s">
        <v>370</v>
      </c>
      <c r="F58" s="8" t="s">
        <v>371</v>
      </c>
    </row>
    <row r="59">
      <c r="A59" s="8" t="s">
        <v>162</v>
      </c>
      <c r="B59" s="8" t="s">
        <v>25</v>
      </c>
      <c r="C59" s="8" t="s">
        <v>218</v>
      </c>
      <c r="D59" s="10">
        <v>3500.0</v>
      </c>
      <c r="E59" s="8" t="s">
        <v>370</v>
      </c>
      <c r="F59" s="8" t="s">
        <v>371</v>
      </c>
    </row>
    <row r="60">
      <c r="A60" s="8" t="s">
        <v>270</v>
      </c>
      <c r="B60" s="8" t="s">
        <v>25</v>
      </c>
      <c r="C60" s="8" t="s">
        <v>127</v>
      </c>
      <c r="D60" s="10">
        <v>13000.0</v>
      </c>
      <c r="E60" s="8" t="s">
        <v>370</v>
      </c>
      <c r="F60" s="8" t="s">
        <v>371</v>
      </c>
    </row>
    <row r="61">
      <c r="A61" s="8" t="s">
        <v>272</v>
      </c>
      <c r="B61" s="8" t="s">
        <v>25</v>
      </c>
      <c r="C61" s="8" t="s">
        <v>69</v>
      </c>
      <c r="D61" s="10">
        <v>17500.0</v>
      </c>
      <c r="E61" s="8" t="s">
        <v>370</v>
      </c>
      <c r="F61" s="8" t="s">
        <v>371</v>
      </c>
    </row>
    <row r="62">
      <c r="A62" s="8" t="s">
        <v>274</v>
      </c>
      <c r="B62" s="8" t="s">
        <v>25</v>
      </c>
      <c r="C62" s="8" t="s">
        <v>53</v>
      </c>
      <c r="D62" s="10">
        <v>13000.0</v>
      </c>
      <c r="E62" s="8" t="s">
        <v>370</v>
      </c>
      <c r="F62" s="8" t="s">
        <v>371</v>
      </c>
    </row>
    <row r="63">
      <c r="A63" s="8" t="s">
        <v>276</v>
      </c>
      <c r="B63" s="8" t="s">
        <v>25</v>
      </c>
      <c r="C63" s="8" t="s">
        <v>53</v>
      </c>
      <c r="D63" s="10">
        <v>13000.0</v>
      </c>
      <c r="E63" s="8" t="s">
        <v>370</v>
      </c>
      <c r="F63" s="8" t="s">
        <v>371</v>
      </c>
    </row>
    <row r="64">
      <c r="A64" s="8" t="s">
        <v>278</v>
      </c>
      <c r="B64" s="8" t="s">
        <v>25</v>
      </c>
      <c r="C64" s="8" t="s">
        <v>53</v>
      </c>
      <c r="D64" s="10">
        <v>10000.0</v>
      </c>
      <c r="E64" s="8" t="s">
        <v>370</v>
      </c>
      <c r="F64" s="8" t="s">
        <v>371</v>
      </c>
    </row>
    <row r="65">
      <c r="A65" s="8" t="s">
        <v>280</v>
      </c>
      <c r="B65" s="8" t="s">
        <v>25</v>
      </c>
      <c r="C65" s="8" t="s">
        <v>53</v>
      </c>
      <c r="D65" s="10">
        <v>10000.0</v>
      </c>
      <c r="E65" s="8" t="s">
        <v>370</v>
      </c>
      <c r="F65" s="8" t="s">
        <v>371</v>
      </c>
    </row>
    <row r="66">
      <c r="A66" s="8" t="s">
        <v>167</v>
      </c>
      <c r="B66" s="8" t="s">
        <v>25</v>
      </c>
      <c r="C66" s="8" t="s">
        <v>189</v>
      </c>
      <c r="D66" s="10">
        <v>12940.8</v>
      </c>
      <c r="E66" s="8" t="s">
        <v>370</v>
      </c>
      <c r="F66" s="8" t="s">
        <v>371</v>
      </c>
    </row>
    <row r="67">
      <c r="A67" s="8" t="s">
        <v>169</v>
      </c>
      <c r="B67" s="8" t="s">
        <v>25</v>
      </c>
      <c r="C67" s="8" t="s">
        <v>52</v>
      </c>
      <c r="D67" s="10">
        <v>12940.8</v>
      </c>
      <c r="E67" s="8" t="s">
        <v>370</v>
      </c>
      <c r="F67" s="8" t="s">
        <v>371</v>
      </c>
    </row>
    <row r="68">
      <c r="A68" s="8" t="s">
        <v>171</v>
      </c>
      <c r="B68" s="8" t="s">
        <v>25</v>
      </c>
      <c r="C68" s="8" t="s">
        <v>115</v>
      </c>
      <c r="D68" s="10">
        <v>12940.8</v>
      </c>
      <c r="E68" s="8" t="s">
        <v>370</v>
      </c>
      <c r="F68" s="8" t="s">
        <v>371</v>
      </c>
    </row>
    <row r="69">
      <c r="A69" s="8" t="s">
        <v>174</v>
      </c>
      <c r="B69" s="8" t="s">
        <v>25</v>
      </c>
      <c r="C69" s="8" t="s">
        <v>52</v>
      </c>
      <c r="D69" s="10">
        <v>12940.8</v>
      </c>
      <c r="E69" s="8" t="s">
        <v>370</v>
      </c>
      <c r="F69" s="8" t="s">
        <v>371</v>
      </c>
    </row>
    <row r="70">
      <c r="A70" s="8" t="s">
        <v>177</v>
      </c>
      <c r="B70" s="8" t="s">
        <v>25</v>
      </c>
      <c r="C70" s="8" t="s">
        <v>52</v>
      </c>
      <c r="D70" s="10">
        <v>12940.8</v>
      </c>
      <c r="E70" s="8" t="s">
        <v>370</v>
      </c>
      <c r="F70" s="8" t="s">
        <v>371</v>
      </c>
    </row>
    <row r="71">
      <c r="A71" s="8" t="s">
        <v>179</v>
      </c>
      <c r="B71" s="8" t="s">
        <v>25</v>
      </c>
      <c r="C71" s="8" t="s">
        <v>115</v>
      </c>
      <c r="D71" s="10">
        <v>12940.8</v>
      </c>
      <c r="E71" s="8" t="s">
        <v>370</v>
      </c>
      <c r="F71" s="8" t="s">
        <v>371</v>
      </c>
    </row>
    <row r="72">
      <c r="A72" s="8" t="s">
        <v>181</v>
      </c>
      <c r="B72" s="8" t="s">
        <v>25</v>
      </c>
      <c r="C72" s="8" t="s">
        <v>53</v>
      </c>
      <c r="D72" s="10">
        <v>12940.8</v>
      </c>
      <c r="E72" s="8" t="s">
        <v>370</v>
      </c>
      <c r="F72" s="8" t="s">
        <v>371</v>
      </c>
    </row>
    <row r="73">
      <c r="A73" s="8" t="s">
        <v>187</v>
      </c>
      <c r="B73" s="8" t="s">
        <v>25</v>
      </c>
      <c r="C73" s="8" t="s">
        <v>372</v>
      </c>
      <c r="D73" s="10">
        <v>3000.0</v>
      </c>
      <c r="E73" s="8" t="s">
        <v>370</v>
      </c>
      <c r="F73" s="8" t="s">
        <v>371</v>
      </c>
    </row>
    <row r="74">
      <c r="A74" s="8" t="s">
        <v>191</v>
      </c>
      <c r="B74" s="8" t="s">
        <v>25</v>
      </c>
      <c r="C74" s="8" t="s">
        <v>373</v>
      </c>
      <c r="D74" s="10">
        <v>3000.0</v>
      </c>
      <c r="E74" s="8" t="s">
        <v>370</v>
      </c>
      <c r="F74" s="8" t="s">
        <v>371</v>
      </c>
    </row>
    <row r="75">
      <c r="A75" s="8" t="s">
        <v>193</v>
      </c>
      <c r="B75" s="8" t="s">
        <v>25</v>
      </c>
      <c r="C75" s="8" t="s">
        <v>53</v>
      </c>
      <c r="D75" s="10">
        <v>21000.0</v>
      </c>
      <c r="E75" s="8" t="s">
        <v>370</v>
      </c>
      <c r="F75" s="8" t="s">
        <v>371</v>
      </c>
    </row>
    <row r="76">
      <c r="A76" s="8" t="s">
        <v>195</v>
      </c>
      <c r="B76" s="8" t="s">
        <v>25</v>
      </c>
      <c r="C76" s="8" t="s">
        <v>127</v>
      </c>
      <c r="D76" s="10">
        <v>3500.0</v>
      </c>
      <c r="E76" s="8" t="s">
        <v>370</v>
      </c>
      <c r="F76" s="8" t="s">
        <v>371</v>
      </c>
    </row>
    <row r="77">
      <c r="A77" s="8" t="s">
        <v>200</v>
      </c>
      <c r="B77" s="8" t="s">
        <v>25</v>
      </c>
      <c r="C77" s="8" t="s">
        <v>374</v>
      </c>
      <c r="D77" s="10">
        <v>4000.0</v>
      </c>
      <c r="E77" s="8" t="s">
        <v>370</v>
      </c>
      <c r="F77" s="8" t="s">
        <v>371</v>
      </c>
    </row>
    <row r="78">
      <c r="A78" s="8" t="s">
        <v>297</v>
      </c>
      <c r="B78" s="8" t="s">
        <v>25</v>
      </c>
      <c r="C78" s="8" t="s">
        <v>115</v>
      </c>
      <c r="D78" s="10">
        <v>10000.0</v>
      </c>
      <c r="E78" s="8" t="s">
        <v>370</v>
      </c>
      <c r="F78" s="8" t="s">
        <v>371</v>
      </c>
    </row>
    <row r="79">
      <c r="A79" s="8" t="s">
        <v>299</v>
      </c>
      <c r="B79" s="8" t="s">
        <v>25</v>
      </c>
      <c r="C79" s="8" t="s">
        <v>127</v>
      </c>
      <c r="D79" s="10">
        <v>10000.0</v>
      </c>
      <c r="E79" s="8" t="s">
        <v>370</v>
      </c>
      <c r="F79" s="8" t="s">
        <v>371</v>
      </c>
    </row>
    <row r="80">
      <c r="A80" s="8" t="s">
        <v>301</v>
      </c>
      <c r="B80" s="8" t="s">
        <v>25</v>
      </c>
      <c r="C80" s="8" t="s">
        <v>115</v>
      </c>
      <c r="D80" s="10">
        <v>10000.0</v>
      </c>
      <c r="E80" s="8" t="s">
        <v>370</v>
      </c>
      <c r="F80" s="8" t="s">
        <v>371</v>
      </c>
    </row>
    <row r="81">
      <c r="A81" s="8" t="s">
        <v>303</v>
      </c>
      <c r="B81" s="8" t="s">
        <v>25</v>
      </c>
      <c r="C81" s="8" t="s">
        <v>127</v>
      </c>
      <c r="D81" s="10">
        <v>10000.0</v>
      </c>
      <c r="E81" s="8" t="s">
        <v>370</v>
      </c>
      <c r="F81" s="8" t="s">
        <v>371</v>
      </c>
    </row>
    <row r="82">
      <c r="A82" s="8" t="s">
        <v>305</v>
      </c>
      <c r="B82" s="8" t="s">
        <v>25</v>
      </c>
      <c r="C82" s="8" t="s">
        <v>69</v>
      </c>
      <c r="D82" s="10">
        <v>17000.0</v>
      </c>
      <c r="E82" s="8" t="s">
        <v>370</v>
      </c>
      <c r="F82" s="8" t="s">
        <v>371</v>
      </c>
    </row>
    <row r="83">
      <c r="A83" s="8" t="s">
        <v>307</v>
      </c>
      <c r="B83" s="8" t="s">
        <v>25</v>
      </c>
      <c r="C83" s="8" t="s">
        <v>310</v>
      </c>
      <c r="D83" s="10">
        <v>10000.0</v>
      </c>
      <c r="E83" s="8" t="s">
        <v>370</v>
      </c>
      <c r="F83" s="8" t="s">
        <v>371</v>
      </c>
    </row>
    <row r="84">
      <c r="A84" s="8" t="s">
        <v>312</v>
      </c>
      <c r="B84" s="8" t="s">
        <v>25</v>
      </c>
      <c r="C84" s="8" t="s">
        <v>375</v>
      </c>
      <c r="D84" s="10">
        <v>6500.0</v>
      </c>
      <c r="E84" s="8" t="s">
        <v>370</v>
      </c>
      <c r="F84" s="8" t="s">
        <v>371</v>
      </c>
    </row>
    <row r="85">
      <c r="A85" s="8" t="s">
        <v>205</v>
      </c>
      <c r="B85" s="8" t="s">
        <v>25</v>
      </c>
      <c r="C85" s="8" t="s">
        <v>115</v>
      </c>
      <c r="D85" s="10">
        <v>10000.0</v>
      </c>
      <c r="E85" s="8" t="s">
        <v>370</v>
      </c>
      <c r="F85" s="8" t="s">
        <v>371</v>
      </c>
    </row>
    <row r="86">
      <c r="A86" s="8" t="s">
        <v>315</v>
      </c>
      <c r="B86" s="8" t="s">
        <v>25</v>
      </c>
      <c r="C86" s="8" t="s">
        <v>127</v>
      </c>
      <c r="D86" s="10">
        <v>10000.0</v>
      </c>
      <c r="E86" s="8" t="s">
        <v>370</v>
      </c>
      <c r="F86" s="8" t="s">
        <v>371</v>
      </c>
    </row>
    <row r="87">
      <c r="A87" s="8" t="s">
        <v>317</v>
      </c>
      <c r="B87" s="8" t="s">
        <v>25</v>
      </c>
      <c r="C87" s="8" t="s">
        <v>115</v>
      </c>
      <c r="D87" s="10">
        <v>10000.0</v>
      </c>
      <c r="E87" s="8" t="s">
        <v>370</v>
      </c>
      <c r="F87" s="8" t="s">
        <v>371</v>
      </c>
    </row>
    <row r="88">
      <c r="A88" s="8" t="s">
        <v>319</v>
      </c>
      <c r="B88" s="8" t="s">
        <v>25</v>
      </c>
      <c r="C88" s="8" t="s">
        <v>127</v>
      </c>
      <c r="D88" s="10">
        <v>10000.0</v>
      </c>
      <c r="E88" s="8" t="s">
        <v>370</v>
      </c>
      <c r="F88" s="8" t="s">
        <v>371</v>
      </c>
    </row>
    <row r="89">
      <c r="A89" s="8" t="s">
        <v>322</v>
      </c>
      <c r="B89" s="8" t="s">
        <v>25</v>
      </c>
      <c r="C89" s="8" t="s">
        <v>69</v>
      </c>
      <c r="D89" s="10">
        <v>17000.0</v>
      </c>
      <c r="E89" s="8" t="s">
        <v>370</v>
      </c>
      <c r="F89" s="8" t="s">
        <v>371</v>
      </c>
    </row>
    <row r="90">
      <c r="A90" s="8" t="s">
        <v>325</v>
      </c>
      <c r="B90" s="8" t="s">
        <v>25</v>
      </c>
      <c r="C90" s="8" t="s">
        <v>310</v>
      </c>
      <c r="D90" s="10">
        <v>10000.0</v>
      </c>
      <c r="E90" s="8" t="s">
        <v>370</v>
      </c>
      <c r="F90" s="8" t="s">
        <v>371</v>
      </c>
    </row>
    <row r="91">
      <c r="A91" s="8" t="s">
        <v>327</v>
      </c>
      <c r="B91" s="8" t="s">
        <v>25</v>
      </c>
      <c r="C91" s="8" t="s">
        <v>375</v>
      </c>
      <c r="D91" s="10">
        <v>6500.0</v>
      </c>
      <c r="E91" s="8" t="s">
        <v>370</v>
      </c>
      <c r="F91" s="8" t="s">
        <v>371</v>
      </c>
    </row>
    <row r="92">
      <c r="A92" s="16" t="s">
        <v>376</v>
      </c>
      <c r="B92" s="16" t="s">
        <v>377</v>
      </c>
      <c r="D92" s="21">
        <f>AVERAGE(D2:D91)</f>
        <v>8963.013333</v>
      </c>
      <c r="E92" s="8" t="s">
        <v>370</v>
      </c>
    </row>
  </sheetData>
  <mergeCells count="1">
    <mergeCell ref="B92:C9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10"/>
      <c r="C1" s="10"/>
      <c r="D1" s="10" t="s">
        <v>378</v>
      </c>
      <c r="E1" s="10" t="s">
        <v>379</v>
      </c>
    </row>
    <row r="2">
      <c r="A2" s="8" t="s">
        <v>222</v>
      </c>
      <c r="B2" s="10">
        <v>7.0</v>
      </c>
      <c r="C2" s="10">
        <v>95.0</v>
      </c>
      <c r="D2" s="10">
        <v>20.0</v>
      </c>
      <c r="E2" s="10">
        <v>115.0</v>
      </c>
    </row>
    <row r="3">
      <c r="A3" s="8" t="s">
        <v>18</v>
      </c>
      <c r="B3" s="10">
        <v>5.0</v>
      </c>
      <c r="C3" s="10">
        <v>70.0</v>
      </c>
      <c r="D3" s="10">
        <v>12.0</v>
      </c>
      <c r="E3" s="10">
        <v>82.0</v>
      </c>
    </row>
    <row r="4">
      <c r="A4" s="8" t="s">
        <v>227</v>
      </c>
      <c r="B4" s="10">
        <v>6.0</v>
      </c>
      <c r="C4" s="10">
        <v>90.0</v>
      </c>
      <c r="D4" s="10">
        <v>20.0</v>
      </c>
      <c r="E4" s="10">
        <v>110.0</v>
      </c>
    </row>
    <row r="5">
      <c r="A5" s="8" t="s">
        <v>24</v>
      </c>
      <c r="B5" s="10">
        <v>5.0</v>
      </c>
      <c r="C5" s="10">
        <v>70.0</v>
      </c>
      <c r="D5" s="10">
        <v>15.0</v>
      </c>
      <c r="E5" s="10">
        <v>85.0</v>
      </c>
    </row>
    <row r="6">
      <c r="A6" s="8" t="s">
        <v>230</v>
      </c>
      <c r="B6" s="10">
        <v>6.0</v>
      </c>
      <c r="C6" s="10">
        <v>90.0</v>
      </c>
      <c r="D6" s="10">
        <v>20.0</v>
      </c>
      <c r="E6" s="10">
        <v>110.0</v>
      </c>
    </row>
    <row r="7">
      <c r="A7" s="8" t="s">
        <v>30</v>
      </c>
      <c r="B7" s="10">
        <v>5.0</v>
      </c>
      <c r="C7" s="10">
        <v>70.0</v>
      </c>
      <c r="D7" s="10">
        <v>15.0</v>
      </c>
      <c r="E7" s="10">
        <v>85.0</v>
      </c>
    </row>
    <row r="8">
      <c r="A8" s="8" t="s">
        <v>231</v>
      </c>
      <c r="B8" s="10">
        <v>4.0</v>
      </c>
      <c r="C8" s="10">
        <v>83.0</v>
      </c>
      <c r="D8" s="10">
        <v>7.0</v>
      </c>
      <c r="E8" s="10">
        <v>90.0</v>
      </c>
    </row>
    <row r="9">
      <c r="A9" s="8" t="s">
        <v>35</v>
      </c>
      <c r="B9" s="10">
        <v>6.0</v>
      </c>
      <c r="C9" s="10">
        <v>75.0</v>
      </c>
      <c r="D9" s="10">
        <v>15.0</v>
      </c>
      <c r="E9" s="10">
        <v>90.0</v>
      </c>
    </row>
    <row r="10">
      <c r="A10" s="8" t="s">
        <v>232</v>
      </c>
      <c r="B10" s="10">
        <v>6.0</v>
      </c>
      <c r="C10" s="10">
        <v>75.0</v>
      </c>
      <c r="D10" s="10">
        <v>15.0</v>
      </c>
      <c r="E10" s="10">
        <v>90.0</v>
      </c>
    </row>
    <row r="11">
      <c r="A11" s="8" t="s">
        <v>234</v>
      </c>
      <c r="B11" s="10">
        <v>8.0</v>
      </c>
      <c r="C11" s="10">
        <v>100.0</v>
      </c>
      <c r="D11" s="10">
        <v>20.0</v>
      </c>
      <c r="E11" s="10">
        <v>120.0</v>
      </c>
    </row>
    <row r="12">
      <c r="A12" s="8" t="s">
        <v>42</v>
      </c>
      <c r="B12" s="10">
        <v>6.0</v>
      </c>
      <c r="C12" s="10">
        <v>75.0</v>
      </c>
      <c r="D12" s="10">
        <v>12.0</v>
      </c>
      <c r="E12" s="10">
        <v>87.0</v>
      </c>
    </row>
    <row r="13">
      <c r="A13" s="8" t="s">
        <v>236</v>
      </c>
      <c r="B13" s="10">
        <v>7.0</v>
      </c>
      <c r="C13" s="10">
        <v>95.0</v>
      </c>
      <c r="D13" s="10">
        <v>20.0</v>
      </c>
      <c r="E13" s="10">
        <v>115.0</v>
      </c>
    </row>
    <row r="14">
      <c r="A14" s="8" t="s">
        <v>50</v>
      </c>
      <c r="B14" s="10">
        <v>6.0</v>
      </c>
      <c r="C14" s="10">
        <v>75.0</v>
      </c>
      <c r="D14" s="10">
        <v>15.0</v>
      </c>
      <c r="E14" s="10">
        <v>90.0</v>
      </c>
    </row>
    <row r="15">
      <c r="A15" s="8" t="s">
        <v>238</v>
      </c>
      <c r="B15" s="10">
        <v>7.0</v>
      </c>
      <c r="C15" s="10">
        <v>95.0</v>
      </c>
      <c r="D15" s="10">
        <v>20.0</v>
      </c>
      <c r="E15" s="10">
        <v>115.0</v>
      </c>
    </row>
    <row r="16">
      <c r="A16" s="8" t="s">
        <v>55</v>
      </c>
      <c r="B16" s="10">
        <v>6.0</v>
      </c>
      <c r="C16" s="10">
        <v>75.0</v>
      </c>
      <c r="D16" s="10">
        <v>15.0</v>
      </c>
      <c r="E16" s="10">
        <v>90.0</v>
      </c>
    </row>
    <row r="17">
      <c r="A17" s="8" t="s">
        <v>59</v>
      </c>
      <c r="B17" s="10">
        <v>6.0</v>
      </c>
      <c r="C17" s="10">
        <v>75.0</v>
      </c>
      <c r="D17" s="10">
        <v>15.0</v>
      </c>
      <c r="E17" s="10">
        <v>90.0</v>
      </c>
    </row>
    <row r="18">
      <c r="A18" s="8" t="s">
        <v>239</v>
      </c>
      <c r="B18" s="10">
        <v>6.0</v>
      </c>
      <c r="C18" s="10">
        <v>75.0</v>
      </c>
      <c r="D18" s="10">
        <v>15.0</v>
      </c>
      <c r="E18" s="10">
        <v>90.0</v>
      </c>
    </row>
    <row r="19">
      <c r="A19" s="8" t="s">
        <v>240</v>
      </c>
      <c r="B19" s="10">
        <v>7.0</v>
      </c>
      <c r="C19" s="10">
        <v>87.0</v>
      </c>
      <c r="D19" s="10">
        <v>12.0</v>
      </c>
      <c r="E19" s="10">
        <v>99.0</v>
      </c>
    </row>
    <row r="20">
      <c r="A20" s="8" t="s">
        <v>241</v>
      </c>
      <c r="B20" s="10">
        <v>7.0</v>
      </c>
      <c r="C20" s="10">
        <v>80.0</v>
      </c>
      <c r="D20" s="10">
        <v>12.0</v>
      </c>
      <c r="E20" s="10">
        <v>92.0</v>
      </c>
    </row>
    <row r="21">
      <c r="A21" s="8" t="s">
        <v>242</v>
      </c>
      <c r="B21" s="10">
        <v>6.0</v>
      </c>
      <c r="C21" s="10">
        <v>75.0</v>
      </c>
      <c r="D21" s="10">
        <v>15.0</v>
      </c>
      <c r="E21" s="10">
        <v>90.0</v>
      </c>
    </row>
    <row r="22">
      <c r="A22" s="8" t="s">
        <v>243</v>
      </c>
      <c r="B22" s="10">
        <v>8.0</v>
      </c>
      <c r="C22" s="10">
        <v>100.0</v>
      </c>
      <c r="D22" s="10">
        <v>20.0</v>
      </c>
      <c r="E22" s="10">
        <v>120.0</v>
      </c>
    </row>
    <row r="23">
      <c r="A23" s="8" t="s">
        <v>77</v>
      </c>
      <c r="B23" s="10">
        <v>8.0</v>
      </c>
      <c r="C23" s="10">
        <v>100.0</v>
      </c>
      <c r="D23" s="10">
        <v>20.0</v>
      </c>
      <c r="E23" s="10">
        <v>120.0</v>
      </c>
    </row>
    <row r="24">
      <c r="A24" s="8" t="s">
        <v>244</v>
      </c>
      <c r="B24" s="10">
        <v>6.0</v>
      </c>
      <c r="C24" s="10">
        <v>75.0</v>
      </c>
      <c r="D24" s="10">
        <v>15.0</v>
      </c>
      <c r="E24" s="10">
        <v>90.0</v>
      </c>
    </row>
    <row r="25">
      <c r="A25" s="8" t="s">
        <v>245</v>
      </c>
      <c r="B25" s="10">
        <v>8.0</v>
      </c>
      <c r="C25" s="10">
        <v>100.0</v>
      </c>
      <c r="D25" s="10">
        <v>20.0</v>
      </c>
      <c r="E25" s="10">
        <v>120.0</v>
      </c>
    </row>
    <row r="26">
      <c r="A26" s="8" t="s">
        <v>84</v>
      </c>
      <c r="B26" s="10">
        <v>8.0</v>
      </c>
      <c r="C26" s="10">
        <v>100.0</v>
      </c>
      <c r="D26" s="10">
        <v>20.0</v>
      </c>
      <c r="E26" s="10">
        <v>120.0</v>
      </c>
    </row>
    <row r="27">
      <c r="A27" s="8" t="s">
        <v>86</v>
      </c>
      <c r="B27" s="10">
        <v>7.0</v>
      </c>
      <c r="C27" s="10">
        <v>95.0</v>
      </c>
      <c r="D27" s="10">
        <v>20.0</v>
      </c>
      <c r="E27" s="10">
        <v>115.0</v>
      </c>
    </row>
    <row r="28">
      <c r="A28" s="8" t="s">
        <v>246</v>
      </c>
      <c r="B28" s="10">
        <v>7.0</v>
      </c>
      <c r="C28" s="10">
        <v>80.0</v>
      </c>
      <c r="D28" s="10">
        <v>15.0</v>
      </c>
      <c r="E28" s="10">
        <v>95.0</v>
      </c>
    </row>
    <row r="29">
      <c r="A29" s="8" t="s">
        <v>91</v>
      </c>
      <c r="B29" s="10">
        <v>7.0</v>
      </c>
      <c r="C29" s="10">
        <v>80.0</v>
      </c>
      <c r="D29" s="10">
        <v>15.0</v>
      </c>
      <c r="E29" s="10">
        <v>95.0</v>
      </c>
    </row>
    <row r="30">
      <c r="A30" s="8" t="s">
        <v>93</v>
      </c>
      <c r="B30" s="10">
        <v>6.0</v>
      </c>
      <c r="C30" s="10">
        <v>75.0</v>
      </c>
      <c r="D30" s="10">
        <v>15.0</v>
      </c>
      <c r="E30" s="10">
        <v>90.0</v>
      </c>
    </row>
    <row r="31">
      <c r="A31" s="8" t="s">
        <v>97</v>
      </c>
      <c r="B31" s="10">
        <v>6.0</v>
      </c>
      <c r="C31" s="10">
        <v>75.0</v>
      </c>
      <c r="D31" s="10">
        <v>15.0</v>
      </c>
      <c r="E31" s="10">
        <v>90.0</v>
      </c>
    </row>
    <row r="32">
      <c r="A32" s="8" t="s">
        <v>247</v>
      </c>
      <c r="B32" s="10">
        <v>5.0</v>
      </c>
      <c r="C32" s="10">
        <v>55.0</v>
      </c>
      <c r="D32" s="10">
        <v>10.0</v>
      </c>
      <c r="E32" s="10">
        <v>65.0</v>
      </c>
    </row>
    <row r="33">
      <c r="A33" s="8" t="s">
        <v>103</v>
      </c>
      <c r="B33" s="10">
        <v>7.0</v>
      </c>
      <c r="C33" s="10">
        <v>80.0</v>
      </c>
      <c r="D33" s="10">
        <v>15.0</v>
      </c>
      <c r="E33" s="10">
        <v>95.0</v>
      </c>
    </row>
    <row r="34">
      <c r="A34" s="8" t="s">
        <v>248</v>
      </c>
      <c r="B34" s="10">
        <v>9.0</v>
      </c>
      <c r="C34" s="10">
        <v>120.0</v>
      </c>
      <c r="D34" s="10">
        <v>25.0</v>
      </c>
      <c r="E34" s="10">
        <v>145.0</v>
      </c>
    </row>
    <row r="35">
      <c r="A35" s="8" t="s">
        <v>107</v>
      </c>
      <c r="B35" s="10">
        <v>7.0</v>
      </c>
      <c r="C35" s="10">
        <v>95.0</v>
      </c>
      <c r="D35" s="10">
        <v>17.0</v>
      </c>
      <c r="E35" s="10">
        <v>112.0</v>
      </c>
    </row>
    <row r="36">
      <c r="A36" s="8" t="s">
        <v>250</v>
      </c>
      <c r="B36" s="10">
        <v>8.0</v>
      </c>
      <c r="C36" s="10">
        <v>115.0</v>
      </c>
      <c r="D36" s="10">
        <v>25.0</v>
      </c>
      <c r="E36" s="10">
        <v>140.0</v>
      </c>
    </row>
    <row r="37">
      <c r="A37" s="8" t="s">
        <v>113</v>
      </c>
      <c r="B37" s="10">
        <v>7.0</v>
      </c>
      <c r="C37" s="10">
        <v>95.0</v>
      </c>
      <c r="D37" s="10">
        <v>20.0</v>
      </c>
      <c r="E37" s="10">
        <v>115.0</v>
      </c>
    </row>
    <row r="38">
      <c r="A38" s="8" t="s">
        <v>252</v>
      </c>
      <c r="B38" s="10">
        <v>8.0</v>
      </c>
      <c r="C38" s="10">
        <v>115.0</v>
      </c>
      <c r="D38" s="10">
        <v>25.0</v>
      </c>
      <c r="E38" s="10">
        <v>140.0</v>
      </c>
    </row>
    <row r="39">
      <c r="A39" s="8" t="s">
        <v>118</v>
      </c>
      <c r="B39" s="10">
        <v>7.0</v>
      </c>
      <c r="C39" s="10">
        <v>95.0</v>
      </c>
      <c r="D39" s="10">
        <v>20.0</v>
      </c>
      <c r="E39" s="10">
        <v>115.0</v>
      </c>
    </row>
    <row r="40">
      <c r="A40" s="8" t="s">
        <v>253</v>
      </c>
      <c r="B40" s="10">
        <v>7.0</v>
      </c>
      <c r="C40" s="10">
        <v>80.0</v>
      </c>
      <c r="D40" s="10">
        <v>15.0</v>
      </c>
      <c r="E40" s="10">
        <v>95.0</v>
      </c>
    </row>
    <row r="41">
      <c r="A41" s="8" t="s">
        <v>254</v>
      </c>
      <c r="B41" s="10">
        <v>9.0</v>
      </c>
      <c r="C41" s="10">
        <v>105.0</v>
      </c>
      <c r="D41" s="10">
        <v>20.0</v>
      </c>
      <c r="E41" s="10">
        <v>125.0</v>
      </c>
    </row>
    <row r="42">
      <c r="A42" s="8" t="s">
        <v>125</v>
      </c>
      <c r="B42" s="10">
        <v>9.0</v>
      </c>
      <c r="C42" s="10">
        <v>105.0</v>
      </c>
      <c r="D42" s="10">
        <v>20.0</v>
      </c>
      <c r="E42" s="10">
        <v>125.0</v>
      </c>
    </row>
    <row r="43">
      <c r="A43" s="8" t="s">
        <v>255</v>
      </c>
      <c r="B43" s="10">
        <v>7.0</v>
      </c>
      <c r="C43" s="10">
        <v>80.0</v>
      </c>
      <c r="D43" s="10">
        <v>15.0</v>
      </c>
      <c r="E43" s="10">
        <v>95.0</v>
      </c>
    </row>
    <row r="44">
      <c r="A44" s="8" t="s">
        <v>256</v>
      </c>
      <c r="B44" s="10">
        <v>9.0</v>
      </c>
      <c r="C44" s="10">
        <v>105.0</v>
      </c>
      <c r="D44" s="10">
        <v>20.0</v>
      </c>
      <c r="E44" s="10">
        <v>125.0</v>
      </c>
    </row>
    <row r="45">
      <c r="A45" s="8" t="s">
        <v>133</v>
      </c>
      <c r="B45" s="10">
        <v>9.0</v>
      </c>
      <c r="C45" s="10">
        <v>105.0</v>
      </c>
      <c r="D45" s="10">
        <v>20.0</v>
      </c>
      <c r="E45" s="10">
        <v>125.0</v>
      </c>
    </row>
    <row r="46">
      <c r="A46" s="8" t="s">
        <v>135</v>
      </c>
      <c r="B46" s="10">
        <v>8.0</v>
      </c>
      <c r="C46" s="10">
        <v>100.0</v>
      </c>
      <c r="D46" s="10">
        <v>20.0</v>
      </c>
      <c r="E46" s="10">
        <v>120.0</v>
      </c>
    </row>
    <row r="47">
      <c r="A47" s="8" t="s">
        <v>257</v>
      </c>
      <c r="B47" s="10">
        <v>5.0</v>
      </c>
      <c r="C47" s="10">
        <v>70.0</v>
      </c>
      <c r="D47" s="10">
        <v>15.0</v>
      </c>
      <c r="E47" s="10">
        <v>85.0</v>
      </c>
    </row>
    <row r="48">
      <c r="A48" s="8" t="s">
        <v>258</v>
      </c>
      <c r="B48" s="10">
        <v>7.0</v>
      </c>
      <c r="C48" s="10">
        <v>95.0</v>
      </c>
      <c r="D48" s="10">
        <v>20.0</v>
      </c>
      <c r="E48" s="10">
        <v>115.0</v>
      </c>
    </row>
    <row r="49">
      <c r="A49" s="8" t="s">
        <v>259</v>
      </c>
      <c r="B49" s="10">
        <v>7.0</v>
      </c>
      <c r="C49" s="10">
        <v>95.0</v>
      </c>
      <c r="D49" s="10">
        <v>20.0</v>
      </c>
      <c r="E49" s="10">
        <v>115.0</v>
      </c>
    </row>
    <row r="50">
      <c r="A50" s="8" t="s">
        <v>260</v>
      </c>
      <c r="B50" s="10">
        <v>5.0</v>
      </c>
      <c r="C50" s="10">
        <v>70.0</v>
      </c>
      <c r="D50" s="10">
        <v>15.0</v>
      </c>
      <c r="E50" s="10">
        <v>85.0</v>
      </c>
    </row>
    <row r="51">
      <c r="A51" s="8" t="s">
        <v>261</v>
      </c>
      <c r="B51" s="10">
        <v>7.0</v>
      </c>
      <c r="C51" s="10">
        <v>95.0</v>
      </c>
      <c r="D51" s="10">
        <v>20.0</v>
      </c>
      <c r="E51" s="10">
        <v>115.0</v>
      </c>
    </row>
    <row r="52">
      <c r="A52" s="8" t="s">
        <v>262</v>
      </c>
      <c r="B52" s="10">
        <v>7.0</v>
      </c>
      <c r="C52" s="10">
        <v>95.0</v>
      </c>
      <c r="D52" s="10">
        <v>20.0</v>
      </c>
      <c r="E52" s="10">
        <v>115.0</v>
      </c>
    </row>
    <row r="53">
      <c r="A53" s="8" t="s">
        <v>263</v>
      </c>
      <c r="B53" s="10">
        <v>6.0</v>
      </c>
      <c r="C53" s="10">
        <v>90.0</v>
      </c>
      <c r="D53" s="10">
        <v>20.0</v>
      </c>
      <c r="E53" s="10">
        <v>110.0</v>
      </c>
    </row>
    <row r="54">
      <c r="A54" s="8" t="s">
        <v>264</v>
      </c>
      <c r="B54" s="10">
        <v>6.0</v>
      </c>
      <c r="C54" s="10">
        <v>75.0</v>
      </c>
      <c r="D54" s="10">
        <v>15.0</v>
      </c>
      <c r="E54" s="10">
        <v>90.0</v>
      </c>
    </row>
    <row r="55">
      <c r="A55" s="8" t="s">
        <v>265</v>
      </c>
      <c r="B55" s="10">
        <v>6.0</v>
      </c>
      <c r="C55" s="10">
        <v>75.0</v>
      </c>
      <c r="D55" s="10">
        <v>15.0</v>
      </c>
      <c r="E55" s="10">
        <v>90.0</v>
      </c>
    </row>
    <row r="56">
      <c r="A56" s="8" t="s">
        <v>266</v>
      </c>
      <c r="B56" s="10">
        <v>5.0</v>
      </c>
      <c r="C56" s="10">
        <v>70.0</v>
      </c>
      <c r="D56" s="10">
        <v>15.0</v>
      </c>
      <c r="E56" s="10">
        <v>85.0</v>
      </c>
    </row>
    <row r="57">
      <c r="A57" s="8" t="s">
        <v>267</v>
      </c>
      <c r="B57" s="10">
        <v>5.0</v>
      </c>
      <c r="C57" s="10">
        <v>70.0</v>
      </c>
      <c r="D57" s="10">
        <v>15.0</v>
      </c>
      <c r="E57" s="10">
        <v>85.0</v>
      </c>
    </row>
    <row r="58">
      <c r="A58" s="8" t="s">
        <v>268</v>
      </c>
      <c r="B58" s="10">
        <v>4.0</v>
      </c>
      <c r="C58" s="10">
        <v>50.0</v>
      </c>
      <c r="D58" s="10">
        <v>10.0</v>
      </c>
      <c r="E58" s="10">
        <v>60.0</v>
      </c>
    </row>
    <row r="59">
      <c r="A59" s="8" t="s">
        <v>269</v>
      </c>
      <c r="B59" s="10">
        <v>6.0</v>
      </c>
      <c r="C59" s="10">
        <v>75.0</v>
      </c>
      <c r="D59" s="10">
        <v>15.0</v>
      </c>
      <c r="E59" s="10">
        <v>90.0</v>
      </c>
    </row>
    <row r="60">
      <c r="A60" s="8" t="s">
        <v>271</v>
      </c>
      <c r="B60" s="10">
        <v>8.0</v>
      </c>
      <c r="C60" s="10">
        <v>115.0</v>
      </c>
      <c r="D60" s="10">
        <v>25.0</v>
      </c>
      <c r="E60" s="10">
        <v>140.0</v>
      </c>
    </row>
    <row r="61">
      <c r="A61" s="8" t="s">
        <v>273</v>
      </c>
      <c r="B61" s="10">
        <v>6.0</v>
      </c>
      <c r="C61" s="10">
        <v>90.0</v>
      </c>
      <c r="D61" s="10">
        <v>17.0</v>
      </c>
      <c r="E61" s="10">
        <v>107.0</v>
      </c>
    </row>
    <row r="62">
      <c r="A62" s="8" t="s">
        <v>275</v>
      </c>
      <c r="B62" s="10">
        <v>7.0</v>
      </c>
      <c r="C62" s="10">
        <v>110.0</v>
      </c>
      <c r="D62" s="10">
        <v>25.0</v>
      </c>
      <c r="E62" s="10">
        <v>135.0</v>
      </c>
    </row>
    <row r="63">
      <c r="A63" s="8" t="s">
        <v>277</v>
      </c>
      <c r="B63" s="10">
        <v>6.0</v>
      </c>
      <c r="C63" s="10">
        <v>90.0</v>
      </c>
      <c r="D63" s="10">
        <v>20.0</v>
      </c>
      <c r="E63" s="10">
        <v>110.0</v>
      </c>
    </row>
    <row r="64">
      <c r="A64" s="8" t="s">
        <v>279</v>
      </c>
      <c r="B64" s="10">
        <v>7.0</v>
      </c>
      <c r="C64" s="10">
        <v>110.0</v>
      </c>
      <c r="D64" s="10">
        <v>25.0</v>
      </c>
      <c r="E64" s="10">
        <v>135.0</v>
      </c>
    </row>
    <row r="65">
      <c r="A65" s="8" t="s">
        <v>281</v>
      </c>
      <c r="B65" s="10">
        <v>6.0</v>
      </c>
      <c r="C65" s="10">
        <v>90.0</v>
      </c>
      <c r="D65" s="10">
        <v>20.0</v>
      </c>
      <c r="E65" s="10">
        <v>110.0</v>
      </c>
    </row>
    <row r="66">
      <c r="A66" s="8" t="s">
        <v>282</v>
      </c>
      <c r="B66" s="10">
        <v>6.0</v>
      </c>
      <c r="C66" s="10">
        <v>75.0</v>
      </c>
      <c r="D66" s="10">
        <v>15.0</v>
      </c>
      <c r="E66" s="10">
        <v>90.0</v>
      </c>
    </row>
    <row r="67">
      <c r="A67" s="8" t="s">
        <v>283</v>
      </c>
      <c r="B67" s="10">
        <v>8.0</v>
      </c>
      <c r="C67" s="10">
        <v>100.0</v>
      </c>
      <c r="D67" s="10">
        <v>20.0</v>
      </c>
      <c r="E67" s="10">
        <v>120.0</v>
      </c>
    </row>
    <row r="68">
      <c r="A68" s="8" t="s">
        <v>284</v>
      </c>
      <c r="B68" s="10">
        <v>8.0</v>
      </c>
      <c r="C68" s="10">
        <v>100.0</v>
      </c>
      <c r="D68" s="10">
        <v>20.0</v>
      </c>
      <c r="E68" s="10">
        <v>120.0</v>
      </c>
    </row>
    <row r="69">
      <c r="A69" s="8" t="s">
        <v>287</v>
      </c>
      <c r="B69" s="10">
        <v>6.0</v>
      </c>
      <c r="C69" s="10">
        <v>75.0</v>
      </c>
      <c r="D69" s="10">
        <v>15.0</v>
      </c>
      <c r="E69" s="10">
        <v>90.0</v>
      </c>
    </row>
    <row r="70">
      <c r="A70" s="8" t="s">
        <v>288</v>
      </c>
      <c r="B70" s="10">
        <v>8.0</v>
      </c>
      <c r="C70" s="10">
        <v>100.0</v>
      </c>
      <c r="D70" s="10">
        <v>20.0</v>
      </c>
      <c r="E70" s="10">
        <v>120.0</v>
      </c>
    </row>
    <row r="71">
      <c r="A71" s="8" t="s">
        <v>289</v>
      </c>
      <c r="B71" s="10">
        <v>8.0</v>
      </c>
      <c r="C71" s="10">
        <v>100.0</v>
      </c>
      <c r="D71" s="10">
        <v>20.0</v>
      </c>
      <c r="E71" s="10">
        <v>120.0</v>
      </c>
    </row>
    <row r="72">
      <c r="A72" s="8" t="s">
        <v>290</v>
      </c>
      <c r="B72" s="10">
        <v>7.0</v>
      </c>
      <c r="C72" s="10">
        <v>95.0</v>
      </c>
      <c r="D72" s="10">
        <v>20.0</v>
      </c>
      <c r="E72" s="10">
        <v>115.0</v>
      </c>
    </row>
    <row r="73">
      <c r="A73" s="8" t="s">
        <v>380</v>
      </c>
      <c r="B73" s="10">
        <v>2.0</v>
      </c>
      <c r="C73" s="10">
        <v>25.0</v>
      </c>
      <c r="D73" s="10">
        <v>5.0</v>
      </c>
      <c r="E73" s="10">
        <v>30.0</v>
      </c>
    </row>
    <row r="74">
      <c r="A74" s="8" t="s">
        <v>381</v>
      </c>
      <c r="B74" s="10">
        <v>2.0</v>
      </c>
      <c r="C74" s="10">
        <v>25.0</v>
      </c>
      <c r="D74" s="10">
        <v>5.0</v>
      </c>
      <c r="E74" s="10">
        <v>30.0</v>
      </c>
    </row>
    <row r="75">
      <c r="A75" s="8" t="s">
        <v>382</v>
      </c>
      <c r="B75" s="10">
        <v>2.0</v>
      </c>
      <c r="C75" s="10">
        <v>25.0</v>
      </c>
      <c r="D75" s="10">
        <v>5.0</v>
      </c>
      <c r="E75" s="10">
        <v>30.0</v>
      </c>
    </row>
    <row r="76">
      <c r="A76" s="8" t="s">
        <v>294</v>
      </c>
      <c r="B76" s="10">
        <v>7.0</v>
      </c>
      <c r="C76" s="10">
        <v>80.0</v>
      </c>
      <c r="D76" s="10">
        <v>14.0</v>
      </c>
      <c r="E76" s="10">
        <v>94.0</v>
      </c>
    </row>
    <row r="77">
      <c r="A77" s="8" t="s">
        <v>383</v>
      </c>
      <c r="B77" s="10">
        <v>2.0</v>
      </c>
      <c r="C77" s="10">
        <v>25.0</v>
      </c>
      <c r="D77" s="10">
        <v>5.0</v>
      </c>
      <c r="E77" s="10">
        <v>30.0</v>
      </c>
    </row>
    <row r="78">
      <c r="A78" s="8" t="s">
        <v>295</v>
      </c>
      <c r="B78" s="10">
        <v>2.0</v>
      </c>
      <c r="C78" s="10">
        <v>40.0</v>
      </c>
      <c r="D78" s="10">
        <v>10.0</v>
      </c>
      <c r="E78" s="10">
        <v>50.0</v>
      </c>
    </row>
    <row r="79">
      <c r="A79" s="8" t="s">
        <v>384</v>
      </c>
      <c r="B79" s="10">
        <v>2.0</v>
      </c>
      <c r="C79" s="10">
        <v>40.0</v>
      </c>
      <c r="D79" s="10">
        <v>10.0</v>
      </c>
      <c r="E79" s="10">
        <v>50.0</v>
      </c>
    </row>
    <row r="80">
      <c r="A80" s="8" t="s">
        <v>298</v>
      </c>
      <c r="B80" s="10">
        <v>6.0</v>
      </c>
      <c r="C80" s="10">
        <v>90.0</v>
      </c>
      <c r="D80" s="10">
        <v>20.0</v>
      </c>
      <c r="E80" s="10">
        <v>110.0</v>
      </c>
    </row>
    <row r="81">
      <c r="A81" s="8" t="s">
        <v>300</v>
      </c>
      <c r="B81" s="10">
        <v>6.0</v>
      </c>
      <c r="C81" s="10">
        <v>90.0</v>
      </c>
      <c r="D81" s="10">
        <v>20.0</v>
      </c>
      <c r="E81" s="10">
        <v>110.0</v>
      </c>
    </row>
    <row r="82">
      <c r="A82" s="8" t="s">
        <v>302</v>
      </c>
      <c r="B82" s="10">
        <v>6.0</v>
      </c>
      <c r="C82" s="10">
        <v>90.0</v>
      </c>
      <c r="D82" s="10">
        <v>20.0</v>
      </c>
      <c r="E82" s="10">
        <v>110.0</v>
      </c>
    </row>
    <row r="83">
      <c r="A83" s="8" t="s">
        <v>304</v>
      </c>
      <c r="B83" s="10">
        <v>6.0</v>
      </c>
      <c r="C83" s="10">
        <v>90.0</v>
      </c>
      <c r="D83" s="10">
        <v>20.0</v>
      </c>
      <c r="E83" s="10">
        <v>110.0</v>
      </c>
    </row>
    <row r="84">
      <c r="A84" s="8" t="s">
        <v>306</v>
      </c>
      <c r="B84" s="10">
        <v>7.0</v>
      </c>
      <c r="C84" s="10">
        <v>102.0</v>
      </c>
      <c r="D84" s="10">
        <v>17.0</v>
      </c>
      <c r="E84" s="10">
        <v>119.0</v>
      </c>
    </row>
    <row r="85">
      <c r="A85" s="8" t="s">
        <v>308</v>
      </c>
      <c r="B85" s="10">
        <v>5.0</v>
      </c>
      <c r="C85" s="10">
        <v>70.0</v>
      </c>
      <c r="D85" s="10">
        <v>15.0</v>
      </c>
      <c r="E85" s="10">
        <v>85.0</v>
      </c>
    </row>
    <row r="86">
      <c r="A86" s="8" t="s">
        <v>385</v>
      </c>
      <c r="B86" s="10">
        <v>4.0</v>
      </c>
      <c r="C86" s="10">
        <v>50.0</v>
      </c>
      <c r="D86" s="10">
        <v>10.0</v>
      </c>
      <c r="E86" s="10">
        <v>60.0</v>
      </c>
    </row>
    <row r="87">
      <c r="A87" s="8" t="s">
        <v>206</v>
      </c>
      <c r="B87" s="10">
        <v>6.0</v>
      </c>
      <c r="C87" s="10">
        <v>90.0</v>
      </c>
      <c r="D87" s="10">
        <v>20.0</v>
      </c>
      <c r="E87" s="10">
        <v>110.0</v>
      </c>
    </row>
    <row r="88">
      <c r="A88" s="8" t="s">
        <v>316</v>
      </c>
      <c r="B88" s="10">
        <v>6.0</v>
      </c>
      <c r="C88" s="10">
        <v>90.0</v>
      </c>
      <c r="D88" s="10">
        <v>20.0</v>
      </c>
      <c r="E88" s="10">
        <v>110.0</v>
      </c>
    </row>
    <row r="89">
      <c r="A89" s="8" t="s">
        <v>318</v>
      </c>
      <c r="B89" s="10">
        <v>6.0</v>
      </c>
      <c r="C89" s="10">
        <v>90.0</v>
      </c>
      <c r="D89" s="10">
        <v>20.0</v>
      </c>
      <c r="E89" s="10">
        <v>110.0</v>
      </c>
    </row>
    <row r="90">
      <c r="A90" s="8" t="s">
        <v>320</v>
      </c>
      <c r="B90" s="10">
        <v>6.0</v>
      </c>
      <c r="C90" s="10">
        <v>90.0</v>
      </c>
      <c r="D90" s="10">
        <v>20.0</v>
      </c>
      <c r="E90" s="10">
        <v>110.0</v>
      </c>
    </row>
    <row r="91">
      <c r="A91" s="8" t="s">
        <v>324</v>
      </c>
      <c r="B91" s="10">
        <v>7.0</v>
      </c>
      <c r="C91" s="10">
        <v>102.0</v>
      </c>
      <c r="D91" s="10">
        <v>17.0</v>
      </c>
      <c r="E91" s="10">
        <v>119.0</v>
      </c>
    </row>
    <row r="92">
      <c r="A92" s="8" t="s">
        <v>386</v>
      </c>
      <c r="B92" s="10">
        <v>5.0</v>
      </c>
      <c r="C92" s="10">
        <v>70.0</v>
      </c>
      <c r="D92" s="10">
        <v>15.0</v>
      </c>
      <c r="E92" s="10">
        <v>85.0</v>
      </c>
    </row>
    <row r="93">
      <c r="A93" s="8" t="s">
        <v>387</v>
      </c>
      <c r="B93" s="10">
        <v>4.0</v>
      </c>
      <c r="C93" s="10">
        <v>50.0</v>
      </c>
      <c r="D93" s="10">
        <v>10.0</v>
      </c>
      <c r="E93" s="10">
        <v>60.0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366</v>
      </c>
      <c r="C1" s="8" t="s">
        <v>367</v>
      </c>
      <c r="D1" s="8" t="s">
        <v>392</v>
      </c>
      <c r="E1" s="8" t="s">
        <v>393</v>
      </c>
      <c r="F1" s="8" t="s">
        <v>394</v>
      </c>
      <c r="G1" s="8" t="s">
        <v>368</v>
      </c>
      <c r="H1" s="8" t="s">
        <v>369</v>
      </c>
    </row>
    <row r="2">
      <c r="A2" s="8" t="s">
        <v>7</v>
      </c>
      <c r="B2" s="8" t="s">
        <v>25</v>
      </c>
      <c r="C2" s="8" t="s">
        <v>127</v>
      </c>
      <c r="D2" s="10">
        <v>1.0</v>
      </c>
      <c r="E2" s="8" t="s">
        <v>395</v>
      </c>
      <c r="F2" s="10">
        <v>3500.0</v>
      </c>
      <c r="G2" s="8" t="s">
        <v>370</v>
      </c>
      <c r="H2" s="8" t="s">
        <v>371</v>
      </c>
    </row>
    <row r="3">
      <c r="A3" s="8" t="s">
        <v>7</v>
      </c>
      <c r="B3" s="8" t="s">
        <v>25</v>
      </c>
      <c r="C3" s="8" t="s">
        <v>127</v>
      </c>
      <c r="D3" s="10">
        <v>2.0</v>
      </c>
      <c r="E3" s="8" t="s">
        <v>396</v>
      </c>
      <c r="F3" s="10">
        <v>3000.0</v>
      </c>
      <c r="G3" s="8" t="s">
        <v>370</v>
      </c>
      <c r="H3" s="8" t="s">
        <v>371</v>
      </c>
    </row>
    <row r="4">
      <c r="A4" s="8" t="s">
        <v>7</v>
      </c>
      <c r="B4" s="8" t="s">
        <v>25</v>
      </c>
      <c r="C4" s="8" t="s">
        <v>127</v>
      </c>
      <c r="D4" s="10">
        <v>3.0</v>
      </c>
      <c r="E4" s="8" t="s">
        <v>397</v>
      </c>
      <c r="F4" s="10">
        <v>0.0</v>
      </c>
      <c r="G4" s="8" t="s">
        <v>370</v>
      </c>
      <c r="H4" s="8" t="s">
        <v>371</v>
      </c>
    </row>
    <row r="5">
      <c r="A5" s="8" t="s">
        <v>7</v>
      </c>
      <c r="B5" s="8" t="s">
        <v>25</v>
      </c>
      <c r="C5" s="8" t="s">
        <v>127</v>
      </c>
      <c r="D5" s="10">
        <v>4.0</v>
      </c>
      <c r="E5" s="8" t="s">
        <v>395</v>
      </c>
      <c r="F5" s="10">
        <v>3500.0</v>
      </c>
      <c r="G5" s="8" t="s">
        <v>370</v>
      </c>
      <c r="H5" s="8" t="s">
        <v>371</v>
      </c>
    </row>
    <row r="6">
      <c r="A6" s="8" t="s">
        <v>7</v>
      </c>
      <c r="B6" s="8" t="s">
        <v>25</v>
      </c>
      <c r="C6" s="8" t="s">
        <v>127</v>
      </c>
      <c r="D6" s="10">
        <v>5.0</v>
      </c>
      <c r="E6" s="8" t="s">
        <v>397</v>
      </c>
      <c r="F6" s="10">
        <v>0.0</v>
      </c>
      <c r="G6" s="8" t="s">
        <v>370</v>
      </c>
      <c r="H6" s="8" t="s">
        <v>371</v>
      </c>
    </row>
    <row r="7">
      <c r="A7" s="8" t="s">
        <v>7</v>
      </c>
      <c r="B7" s="8" t="s">
        <v>25</v>
      </c>
      <c r="C7" s="8" t="s">
        <v>127</v>
      </c>
      <c r="D7" s="10">
        <v>6.0</v>
      </c>
      <c r="E7" s="8" t="s">
        <v>395</v>
      </c>
      <c r="F7" s="10">
        <v>0.0</v>
      </c>
      <c r="G7" s="8" t="s">
        <v>370</v>
      </c>
      <c r="H7" s="8" t="s">
        <v>371</v>
      </c>
    </row>
    <row r="8">
      <c r="A8" s="8" t="s">
        <v>233</v>
      </c>
      <c r="B8" s="8" t="s">
        <v>25</v>
      </c>
      <c r="C8" s="8" t="s">
        <v>127</v>
      </c>
      <c r="D8" s="10">
        <v>1.0</v>
      </c>
      <c r="E8" s="8" t="s">
        <v>397</v>
      </c>
      <c r="F8" s="10">
        <v>0.0</v>
      </c>
      <c r="G8" s="8" t="s">
        <v>370</v>
      </c>
      <c r="H8" s="8" t="s">
        <v>371</v>
      </c>
    </row>
    <row r="9">
      <c r="A9" s="8" t="s">
        <v>233</v>
      </c>
      <c r="B9" s="8" t="s">
        <v>25</v>
      </c>
      <c r="C9" s="8" t="s">
        <v>127</v>
      </c>
      <c r="D9" s="10">
        <v>2.0</v>
      </c>
      <c r="E9" s="8" t="s">
        <v>396</v>
      </c>
      <c r="F9" s="10">
        <v>0.0</v>
      </c>
      <c r="G9" s="8" t="s">
        <v>370</v>
      </c>
      <c r="H9" s="8" t="s">
        <v>371</v>
      </c>
    </row>
    <row r="10">
      <c r="A10" s="8" t="s">
        <v>233</v>
      </c>
      <c r="B10" s="8" t="s">
        <v>25</v>
      </c>
      <c r="C10" s="8" t="s">
        <v>127</v>
      </c>
      <c r="D10" s="10">
        <v>3.0</v>
      </c>
      <c r="E10" s="8" t="s">
        <v>396</v>
      </c>
      <c r="F10" s="10">
        <v>3000.0</v>
      </c>
      <c r="G10" s="8" t="s">
        <v>370</v>
      </c>
      <c r="H10" s="8" t="s">
        <v>371</v>
      </c>
    </row>
    <row r="11">
      <c r="A11" s="8" t="s">
        <v>233</v>
      </c>
      <c r="B11" s="8" t="s">
        <v>25</v>
      </c>
      <c r="C11" s="8" t="s">
        <v>127</v>
      </c>
      <c r="D11" s="10">
        <v>4.0</v>
      </c>
      <c r="E11" s="8" t="s">
        <v>397</v>
      </c>
      <c r="F11" s="10">
        <v>3000.0</v>
      </c>
      <c r="G11" s="8" t="s">
        <v>370</v>
      </c>
      <c r="H11" s="8" t="s">
        <v>371</v>
      </c>
    </row>
    <row r="12">
      <c r="A12" s="8" t="s">
        <v>233</v>
      </c>
      <c r="B12" s="8" t="s">
        <v>25</v>
      </c>
      <c r="C12" s="8" t="s">
        <v>127</v>
      </c>
      <c r="D12" s="10">
        <v>5.0</v>
      </c>
      <c r="E12" s="8" t="s">
        <v>395</v>
      </c>
      <c r="F12" s="10">
        <v>0.0</v>
      </c>
      <c r="G12" s="8" t="s">
        <v>370</v>
      </c>
      <c r="H12" s="8" t="s">
        <v>371</v>
      </c>
    </row>
    <row r="13">
      <c r="A13" s="8" t="s">
        <v>233</v>
      </c>
      <c r="B13" s="8" t="s">
        <v>25</v>
      </c>
      <c r="C13" s="8" t="s">
        <v>127</v>
      </c>
      <c r="D13" s="10">
        <v>6.0</v>
      </c>
      <c r="E13" s="8" t="s">
        <v>397</v>
      </c>
      <c r="F13" s="10">
        <v>3500.0</v>
      </c>
      <c r="G13" s="8" t="s">
        <v>370</v>
      </c>
      <c r="H13" s="8" t="s">
        <v>371</v>
      </c>
    </row>
    <row r="14">
      <c r="A14" s="8" t="s">
        <v>233</v>
      </c>
      <c r="B14" s="8" t="s">
        <v>25</v>
      </c>
      <c r="C14" s="8" t="s">
        <v>127</v>
      </c>
      <c r="D14" s="10">
        <v>7.0</v>
      </c>
      <c r="E14" s="8" t="s">
        <v>395</v>
      </c>
      <c r="F14" s="10">
        <v>0.0</v>
      </c>
      <c r="G14" s="8" t="s">
        <v>370</v>
      </c>
      <c r="H14" s="8" t="s">
        <v>371</v>
      </c>
    </row>
    <row r="15">
      <c r="A15" s="8" t="s">
        <v>41</v>
      </c>
      <c r="B15" s="8" t="s">
        <v>25</v>
      </c>
      <c r="C15" s="8" t="s">
        <v>69</v>
      </c>
      <c r="D15" s="10">
        <v>1.0</v>
      </c>
      <c r="E15" s="8" t="s">
        <v>397</v>
      </c>
      <c r="F15" s="10">
        <v>0.0</v>
      </c>
      <c r="G15" s="8" t="s">
        <v>370</v>
      </c>
      <c r="H15" s="8" t="s">
        <v>371</v>
      </c>
    </row>
    <row r="16">
      <c r="A16" s="8" t="s">
        <v>41</v>
      </c>
      <c r="B16" s="8" t="s">
        <v>25</v>
      </c>
      <c r="C16" s="8" t="s">
        <v>69</v>
      </c>
      <c r="D16" s="10">
        <v>2.0</v>
      </c>
      <c r="E16" s="8" t="s">
        <v>396</v>
      </c>
      <c r="F16" s="10">
        <v>0.0</v>
      </c>
      <c r="G16" s="8" t="s">
        <v>370</v>
      </c>
      <c r="H16" s="8" t="s">
        <v>371</v>
      </c>
    </row>
    <row r="17">
      <c r="A17" s="8" t="s">
        <v>41</v>
      </c>
      <c r="B17" s="8" t="s">
        <v>25</v>
      </c>
      <c r="C17" s="8" t="s">
        <v>69</v>
      </c>
      <c r="D17" s="10">
        <v>3.0</v>
      </c>
      <c r="E17" s="8" t="s">
        <v>396</v>
      </c>
      <c r="F17" s="10">
        <v>0.0</v>
      </c>
      <c r="G17" s="8" t="s">
        <v>370</v>
      </c>
      <c r="H17" s="8" t="s">
        <v>371</v>
      </c>
    </row>
    <row r="18">
      <c r="A18" s="8" t="s">
        <v>41</v>
      </c>
      <c r="B18" s="8" t="s">
        <v>25</v>
      </c>
      <c r="C18" s="8" t="s">
        <v>69</v>
      </c>
      <c r="D18" s="10">
        <v>4.0</v>
      </c>
      <c r="E18" s="8" t="s">
        <v>397</v>
      </c>
      <c r="F18" s="10">
        <v>3000.0</v>
      </c>
      <c r="G18" s="8" t="s">
        <v>370</v>
      </c>
      <c r="H18" s="8" t="s">
        <v>371</v>
      </c>
    </row>
    <row r="19">
      <c r="A19" s="8" t="s">
        <v>41</v>
      </c>
      <c r="B19" s="8" t="s">
        <v>25</v>
      </c>
      <c r="C19" s="8" t="s">
        <v>69</v>
      </c>
      <c r="D19" s="10">
        <v>5.0</v>
      </c>
      <c r="E19" s="8" t="s">
        <v>398</v>
      </c>
      <c r="F19" s="10">
        <v>3000.0</v>
      </c>
      <c r="G19" s="8" t="s">
        <v>370</v>
      </c>
      <c r="H19" s="8" t="s">
        <v>371</v>
      </c>
    </row>
    <row r="20">
      <c r="A20" s="8" t="s">
        <v>235</v>
      </c>
      <c r="B20" s="8" t="s">
        <v>25</v>
      </c>
      <c r="C20" s="8" t="s">
        <v>53</v>
      </c>
      <c r="D20" s="10">
        <v>1.0</v>
      </c>
      <c r="E20" s="8" t="s">
        <v>397</v>
      </c>
      <c r="F20" s="10">
        <v>0.0</v>
      </c>
      <c r="G20" s="8" t="s">
        <v>370</v>
      </c>
      <c r="H20" s="8" t="s">
        <v>371</v>
      </c>
    </row>
    <row r="21">
      <c r="A21" s="8" t="s">
        <v>235</v>
      </c>
      <c r="B21" s="8" t="s">
        <v>25</v>
      </c>
      <c r="C21" s="8" t="s">
        <v>53</v>
      </c>
      <c r="D21" s="10">
        <v>2.0</v>
      </c>
      <c r="E21" s="8" t="s">
        <v>396</v>
      </c>
      <c r="F21" s="10">
        <v>8000.0</v>
      </c>
      <c r="G21" s="8" t="s">
        <v>370</v>
      </c>
      <c r="H21" s="8" t="s">
        <v>371</v>
      </c>
    </row>
    <row r="22">
      <c r="A22" s="8" t="s">
        <v>235</v>
      </c>
      <c r="B22" s="8" t="s">
        <v>25</v>
      </c>
      <c r="C22" s="8" t="s">
        <v>53</v>
      </c>
      <c r="D22" s="10">
        <v>3.0</v>
      </c>
      <c r="E22" s="8" t="s">
        <v>396</v>
      </c>
      <c r="F22" s="10">
        <v>0.0</v>
      </c>
      <c r="G22" s="8" t="s">
        <v>370</v>
      </c>
      <c r="H22" s="8" t="s">
        <v>371</v>
      </c>
    </row>
    <row r="23">
      <c r="A23" s="8" t="s">
        <v>235</v>
      </c>
      <c r="B23" s="8" t="s">
        <v>25</v>
      </c>
      <c r="C23" s="8" t="s">
        <v>53</v>
      </c>
      <c r="D23" s="10">
        <v>4.0</v>
      </c>
      <c r="E23" s="8" t="s">
        <v>397</v>
      </c>
      <c r="F23" s="10">
        <v>0.0</v>
      </c>
      <c r="G23" s="8" t="s">
        <v>370</v>
      </c>
      <c r="H23" s="8" t="s">
        <v>371</v>
      </c>
    </row>
    <row r="24">
      <c r="A24" s="8" t="s">
        <v>235</v>
      </c>
      <c r="B24" s="8" t="s">
        <v>25</v>
      </c>
      <c r="C24" s="8" t="s">
        <v>53</v>
      </c>
      <c r="D24" s="10">
        <v>5.0</v>
      </c>
      <c r="E24" s="8" t="s">
        <v>395</v>
      </c>
      <c r="F24" s="10">
        <v>3000.0</v>
      </c>
      <c r="G24" s="8" t="s">
        <v>370</v>
      </c>
      <c r="H24" s="8" t="s">
        <v>371</v>
      </c>
    </row>
    <row r="25">
      <c r="A25" s="8" t="s">
        <v>235</v>
      </c>
      <c r="B25" s="8" t="s">
        <v>25</v>
      </c>
      <c r="C25" s="8" t="s">
        <v>53</v>
      </c>
      <c r="D25" s="10">
        <v>6.0</v>
      </c>
      <c r="E25" s="8" t="s">
        <v>395</v>
      </c>
      <c r="F25" s="10">
        <v>3000.0</v>
      </c>
      <c r="G25" s="8" t="s">
        <v>370</v>
      </c>
      <c r="H25" s="8" t="s">
        <v>371</v>
      </c>
    </row>
    <row r="26">
      <c r="A26" s="8" t="s">
        <v>48</v>
      </c>
      <c r="B26" s="8" t="s">
        <v>25</v>
      </c>
      <c r="C26" s="8" t="s">
        <v>53</v>
      </c>
      <c r="D26" s="10">
        <v>1.0</v>
      </c>
      <c r="E26" s="8" t="s">
        <v>397</v>
      </c>
      <c r="F26" s="10">
        <v>0.0</v>
      </c>
      <c r="G26" s="8" t="s">
        <v>370</v>
      </c>
      <c r="H26" s="8" t="s">
        <v>371</v>
      </c>
    </row>
    <row r="27">
      <c r="A27" s="8" t="s">
        <v>48</v>
      </c>
      <c r="B27" s="8" t="s">
        <v>25</v>
      </c>
      <c r="C27" s="8" t="s">
        <v>53</v>
      </c>
      <c r="D27" s="10">
        <v>2.0</v>
      </c>
      <c r="E27" s="8" t="s">
        <v>396</v>
      </c>
      <c r="F27" s="10">
        <v>3500.0</v>
      </c>
      <c r="G27" s="8" t="s">
        <v>370</v>
      </c>
      <c r="H27" s="8" t="s">
        <v>371</v>
      </c>
    </row>
    <row r="28">
      <c r="A28" s="8" t="s">
        <v>48</v>
      </c>
      <c r="B28" s="8" t="s">
        <v>25</v>
      </c>
      <c r="C28" s="8" t="s">
        <v>53</v>
      </c>
      <c r="D28" s="10">
        <v>3.0</v>
      </c>
      <c r="E28" s="8" t="s">
        <v>396</v>
      </c>
      <c r="F28" s="10">
        <v>0.0</v>
      </c>
      <c r="G28" s="8" t="s">
        <v>370</v>
      </c>
      <c r="H28" s="8" t="s">
        <v>371</v>
      </c>
    </row>
    <row r="29">
      <c r="A29" s="8" t="s">
        <v>48</v>
      </c>
      <c r="B29" s="8" t="s">
        <v>25</v>
      </c>
      <c r="C29" s="8" t="s">
        <v>53</v>
      </c>
      <c r="D29" s="10">
        <v>4.0</v>
      </c>
      <c r="E29" s="8" t="s">
        <v>397</v>
      </c>
      <c r="F29" s="10">
        <v>0.0</v>
      </c>
      <c r="G29" s="8" t="s">
        <v>370</v>
      </c>
      <c r="H29" s="8" t="s">
        <v>371</v>
      </c>
    </row>
    <row r="30">
      <c r="A30" s="8" t="s">
        <v>48</v>
      </c>
      <c r="B30" s="8" t="s">
        <v>25</v>
      </c>
      <c r="C30" s="8" t="s">
        <v>53</v>
      </c>
      <c r="D30" s="10">
        <v>5.0</v>
      </c>
      <c r="E30" s="8" t="s">
        <v>395</v>
      </c>
      <c r="F30" s="10">
        <v>0.0</v>
      </c>
      <c r="G30" s="8" t="s">
        <v>370</v>
      </c>
      <c r="H30" s="8" t="s">
        <v>371</v>
      </c>
    </row>
    <row r="31">
      <c r="A31" s="8" t="s">
        <v>237</v>
      </c>
      <c r="B31" s="8" t="s">
        <v>25</v>
      </c>
      <c r="C31" s="8" t="s">
        <v>53</v>
      </c>
      <c r="D31" s="10">
        <v>1.0</v>
      </c>
      <c r="E31" s="8" t="s">
        <v>397</v>
      </c>
      <c r="F31" s="10">
        <v>3000.0</v>
      </c>
      <c r="G31" s="8" t="s">
        <v>370</v>
      </c>
      <c r="H31" s="8" t="s">
        <v>371</v>
      </c>
    </row>
    <row r="32">
      <c r="A32" s="8" t="s">
        <v>237</v>
      </c>
      <c r="B32" s="8" t="s">
        <v>25</v>
      </c>
      <c r="C32" s="8" t="s">
        <v>53</v>
      </c>
      <c r="D32" s="10">
        <v>2.0</v>
      </c>
      <c r="E32" s="8" t="s">
        <v>396</v>
      </c>
      <c r="F32" s="10">
        <v>3000.0</v>
      </c>
      <c r="G32" s="8" t="s">
        <v>370</v>
      </c>
      <c r="H32" s="8" t="s">
        <v>371</v>
      </c>
    </row>
    <row r="33">
      <c r="A33" s="8" t="s">
        <v>237</v>
      </c>
      <c r="B33" s="8" t="s">
        <v>25</v>
      </c>
      <c r="C33" s="8" t="s">
        <v>53</v>
      </c>
      <c r="D33" s="10">
        <v>3.0</v>
      </c>
      <c r="E33" s="8" t="s">
        <v>395</v>
      </c>
      <c r="F33" s="10">
        <v>0.0</v>
      </c>
      <c r="G33" s="8" t="s">
        <v>370</v>
      </c>
      <c r="H33" s="8" t="s">
        <v>371</v>
      </c>
    </row>
    <row r="34">
      <c r="A34" s="8" t="s">
        <v>237</v>
      </c>
      <c r="B34" s="8" t="s">
        <v>25</v>
      </c>
      <c r="C34" s="8" t="s">
        <v>53</v>
      </c>
      <c r="D34" s="10">
        <v>4.0</v>
      </c>
      <c r="E34" s="8" t="s">
        <v>397</v>
      </c>
      <c r="F34" s="10">
        <v>3500.0</v>
      </c>
      <c r="G34" s="8" t="s">
        <v>370</v>
      </c>
      <c r="H34" s="8" t="s">
        <v>371</v>
      </c>
    </row>
    <row r="35">
      <c r="A35" s="8" t="s">
        <v>237</v>
      </c>
      <c r="B35" s="8" t="s">
        <v>25</v>
      </c>
      <c r="C35" s="8" t="s">
        <v>53</v>
      </c>
      <c r="D35" s="10">
        <v>5.0</v>
      </c>
      <c r="E35" s="8" t="s">
        <v>395</v>
      </c>
      <c r="F35" s="10">
        <v>0.0</v>
      </c>
      <c r="G35" s="8" t="s">
        <v>370</v>
      </c>
      <c r="H35" s="8" t="s">
        <v>371</v>
      </c>
    </row>
    <row r="36">
      <c r="A36" s="8" t="s">
        <v>237</v>
      </c>
      <c r="B36" s="8" t="s">
        <v>25</v>
      </c>
      <c r="C36" s="8" t="s">
        <v>53</v>
      </c>
      <c r="D36" s="10">
        <v>6.0</v>
      </c>
      <c r="E36" s="8" t="s">
        <v>395</v>
      </c>
      <c r="F36" s="10">
        <v>0.0</v>
      </c>
      <c r="G36" s="8" t="s">
        <v>370</v>
      </c>
      <c r="H36" s="8" t="s">
        <v>371</v>
      </c>
    </row>
    <row r="37">
      <c r="A37" s="8" t="s">
        <v>54</v>
      </c>
      <c r="B37" s="8" t="s">
        <v>25</v>
      </c>
      <c r="C37" s="8" t="s">
        <v>53</v>
      </c>
      <c r="D37" s="10">
        <v>1.0</v>
      </c>
      <c r="E37" s="8" t="s">
        <v>397</v>
      </c>
      <c r="F37" s="10">
        <v>3000.0</v>
      </c>
      <c r="G37" s="8" t="s">
        <v>370</v>
      </c>
      <c r="H37" s="8" t="s">
        <v>371</v>
      </c>
    </row>
    <row r="38">
      <c r="A38" s="8" t="s">
        <v>54</v>
      </c>
      <c r="B38" s="8" t="s">
        <v>25</v>
      </c>
      <c r="C38" s="8" t="s">
        <v>53</v>
      </c>
      <c r="D38" s="10">
        <v>2.0</v>
      </c>
      <c r="E38" s="8" t="s">
        <v>396</v>
      </c>
      <c r="F38" s="10">
        <v>3500.0</v>
      </c>
      <c r="G38" s="8" t="s">
        <v>370</v>
      </c>
      <c r="H38" s="8" t="s">
        <v>371</v>
      </c>
    </row>
    <row r="39">
      <c r="A39" s="8" t="s">
        <v>54</v>
      </c>
      <c r="B39" s="8" t="s">
        <v>25</v>
      </c>
      <c r="C39" s="8" t="s">
        <v>53</v>
      </c>
      <c r="D39" s="10">
        <v>3.0</v>
      </c>
      <c r="E39" s="8" t="s">
        <v>395</v>
      </c>
      <c r="F39" s="10">
        <v>0.0</v>
      </c>
      <c r="G39" s="8" t="s">
        <v>370</v>
      </c>
      <c r="H39" s="8" t="s">
        <v>371</v>
      </c>
    </row>
    <row r="40">
      <c r="A40" s="8" t="s">
        <v>54</v>
      </c>
      <c r="B40" s="8" t="s">
        <v>25</v>
      </c>
      <c r="C40" s="8" t="s">
        <v>53</v>
      </c>
      <c r="D40" s="10">
        <v>4.0</v>
      </c>
      <c r="E40" s="8" t="s">
        <v>397</v>
      </c>
      <c r="F40" s="10">
        <v>0.0</v>
      </c>
      <c r="G40" s="8" t="s">
        <v>370</v>
      </c>
      <c r="H40" s="8" t="s">
        <v>371</v>
      </c>
    </row>
    <row r="41">
      <c r="A41" s="8" t="s">
        <v>54</v>
      </c>
      <c r="B41" s="8" t="s">
        <v>25</v>
      </c>
      <c r="C41" s="8" t="s">
        <v>53</v>
      </c>
      <c r="D41" s="10">
        <v>5.0</v>
      </c>
      <c r="E41" s="8" t="s">
        <v>395</v>
      </c>
      <c r="F41" s="10">
        <v>0.0</v>
      </c>
      <c r="G41" s="8" t="s">
        <v>370</v>
      </c>
      <c r="H41" s="8" t="s">
        <v>371</v>
      </c>
    </row>
    <row r="42">
      <c r="A42" s="8" t="s">
        <v>58</v>
      </c>
      <c r="B42" s="8" t="s">
        <v>25</v>
      </c>
      <c r="C42" s="8" t="s">
        <v>115</v>
      </c>
      <c r="D42" s="10">
        <v>1.0</v>
      </c>
      <c r="E42" s="8" t="s">
        <v>397</v>
      </c>
      <c r="F42" s="10">
        <v>0.0</v>
      </c>
      <c r="G42" s="8" t="s">
        <v>370</v>
      </c>
      <c r="H42" s="8" t="s">
        <v>371</v>
      </c>
    </row>
    <row r="43">
      <c r="A43" s="8" t="s">
        <v>58</v>
      </c>
      <c r="B43" s="8" t="s">
        <v>25</v>
      </c>
      <c r="C43" s="8" t="s">
        <v>115</v>
      </c>
      <c r="D43" s="10">
        <v>2.0</v>
      </c>
      <c r="E43" s="8" t="s">
        <v>396</v>
      </c>
      <c r="F43" s="10">
        <v>0.0</v>
      </c>
      <c r="G43" s="8" t="s">
        <v>370</v>
      </c>
      <c r="H43" s="8" t="s">
        <v>371</v>
      </c>
    </row>
    <row r="44">
      <c r="A44" s="8" t="s">
        <v>58</v>
      </c>
      <c r="B44" s="8" t="s">
        <v>25</v>
      </c>
      <c r="C44" s="8" t="s">
        <v>115</v>
      </c>
      <c r="D44" s="10">
        <v>3.0</v>
      </c>
      <c r="E44" s="8" t="s">
        <v>397</v>
      </c>
      <c r="F44" s="10">
        <v>3000.0</v>
      </c>
      <c r="G44" s="8" t="s">
        <v>370</v>
      </c>
      <c r="H44" s="8" t="s">
        <v>371</v>
      </c>
    </row>
    <row r="45">
      <c r="A45" s="8" t="s">
        <v>58</v>
      </c>
      <c r="B45" s="8" t="s">
        <v>25</v>
      </c>
      <c r="C45" s="8" t="s">
        <v>115</v>
      </c>
      <c r="D45" s="10">
        <v>4.0</v>
      </c>
      <c r="E45" s="8" t="s">
        <v>395</v>
      </c>
      <c r="F45" s="10">
        <v>3500.0</v>
      </c>
      <c r="G45" s="8" t="s">
        <v>370</v>
      </c>
      <c r="H45" s="8" t="s">
        <v>371</v>
      </c>
    </row>
    <row r="46">
      <c r="A46" s="8" t="s">
        <v>58</v>
      </c>
      <c r="B46" s="8" t="s">
        <v>25</v>
      </c>
      <c r="C46" s="8" t="s">
        <v>115</v>
      </c>
      <c r="D46" s="10">
        <v>5.0</v>
      </c>
      <c r="E46" s="8" t="s">
        <v>395</v>
      </c>
      <c r="F46" s="10">
        <v>0.0</v>
      </c>
      <c r="G46" s="8" t="s">
        <v>370</v>
      </c>
      <c r="H46" s="8" t="s">
        <v>371</v>
      </c>
    </row>
    <row r="47">
      <c r="A47" s="8" t="s">
        <v>123</v>
      </c>
      <c r="B47" s="8" t="s">
        <v>25</v>
      </c>
      <c r="C47" s="8" t="s">
        <v>127</v>
      </c>
      <c r="D47" s="10">
        <v>1.0</v>
      </c>
      <c r="E47" s="8" t="s">
        <v>397</v>
      </c>
      <c r="F47" s="10">
        <v>0.0</v>
      </c>
      <c r="G47" s="8" t="s">
        <v>370</v>
      </c>
      <c r="H47" s="8" t="s">
        <v>371</v>
      </c>
    </row>
    <row r="48">
      <c r="A48" s="8" t="s">
        <v>123</v>
      </c>
      <c r="B48" s="8" t="s">
        <v>25</v>
      </c>
      <c r="C48" s="8" t="s">
        <v>127</v>
      </c>
      <c r="D48" s="10">
        <v>2.0</v>
      </c>
      <c r="E48" s="8" t="s">
        <v>396</v>
      </c>
      <c r="F48" s="10">
        <v>0.0</v>
      </c>
      <c r="G48" s="8" t="s">
        <v>370</v>
      </c>
      <c r="H48" s="8" t="s">
        <v>371</v>
      </c>
    </row>
    <row r="49">
      <c r="A49" s="8" t="s">
        <v>123</v>
      </c>
      <c r="B49" s="8" t="s">
        <v>25</v>
      </c>
      <c r="C49" s="8" t="s">
        <v>127</v>
      </c>
      <c r="D49" s="10">
        <v>3.0</v>
      </c>
      <c r="E49" s="8" t="s">
        <v>397</v>
      </c>
      <c r="F49" s="10">
        <v>0.0</v>
      </c>
      <c r="G49" s="8" t="s">
        <v>370</v>
      </c>
      <c r="H49" s="8" t="s">
        <v>371</v>
      </c>
    </row>
    <row r="50">
      <c r="A50" s="8" t="s">
        <v>123</v>
      </c>
      <c r="B50" s="8" t="s">
        <v>25</v>
      </c>
      <c r="C50" s="8" t="s">
        <v>127</v>
      </c>
      <c r="D50" s="10">
        <v>4.0</v>
      </c>
      <c r="E50" s="8" t="s">
        <v>395</v>
      </c>
      <c r="F50" s="10">
        <v>3000.0</v>
      </c>
      <c r="G50" s="8" t="s">
        <v>370</v>
      </c>
      <c r="H50" s="8" t="s">
        <v>371</v>
      </c>
    </row>
    <row r="51">
      <c r="A51" s="8" t="s">
        <v>123</v>
      </c>
      <c r="B51" s="8" t="s">
        <v>25</v>
      </c>
      <c r="C51" s="8" t="s">
        <v>127</v>
      </c>
      <c r="D51" s="10">
        <v>5.0</v>
      </c>
      <c r="E51" s="8" t="s">
        <v>395</v>
      </c>
      <c r="F51" s="10">
        <v>0.0</v>
      </c>
      <c r="G51" s="8" t="s">
        <v>370</v>
      </c>
      <c r="H51" s="8" t="s">
        <v>371</v>
      </c>
    </row>
    <row r="52">
      <c r="A52" s="8" t="s">
        <v>62</v>
      </c>
      <c r="B52" s="8" t="s">
        <v>25</v>
      </c>
      <c r="C52" s="8" t="s">
        <v>69</v>
      </c>
      <c r="D52" s="10">
        <v>1.0</v>
      </c>
      <c r="E52" s="8" t="s">
        <v>397</v>
      </c>
      <c r="F52" s="10">
        <v>3500.0</v>
      </c>
      <c r="G52" s="8" t="s">
        <v>370</v>
      </c>
      <c r="H52" s="8" t="s">
        <v>371</v>
      </c>
    </row>
    <row r="53">
      <c r="A53" s="8" t="s">
        <v>62</v>
      </c>
      <c r="B53" s="8" t="s">
        <v>25</v>
      </c>
      <c r="C53" s="8" t="s">
        <v>69</v>
      </c>
      <c r="D53" s="10">
        <v>2.0</v>
      </c>
      <c r="E53" s="8" t="s">
        <v>396</v>
      </c>
      <c r="F53" s="10">
        <v>0.0</v>
      </c>
      <c r="G53" s="8" t="s">
        <v>370</v>
      </c>
      <c r="H53" s="8" t="s">
        <v>371</v>
      </c>
    </row>
    <row r="54">
      <c r="A54" s="8" t="s">
        <v>62</v>
      </c>
      <c r="B54" s="8" t="s">
        <v>25</v>
      </c>
      <c r="C54" s="8" t="s">
        <v>69</v>
      </c>
      <c r="D54" s="10">
        <v>3.0</v>
      </c>
      <c r="E54" s="8" t="s">
        <v>397</v>
      </c>
      <c r="F54" s="10">
        <v>0.0</v>
      </c>
      <c r="G54" s="8" t="s">
        <v>370</v>
      </c>
      <c r="H54" s="8" t="s">
        <v>371</v>
      </c>
    </row>
    <row r="55">
      <c r="A55" s="8" t="s">
        <v>62</v>
      </c>
      <c r="B55" s="8" t="s">
        <v>25</v>
      </c>
      <c r="C55" s="8" t="s">
        <v>69</v>
      </c>
      <c r="D55" s="10">
        <v>4.0</v>
      </c>
      <c r="E55" s="8" t="s">
        <v>395</v>
      </c>
      <c r="F55" s="10">
        <v>0.0</v>
      </c>
      <c r="G55" s="8" t="s">
        <v>370</v>
      </c>
      <c r="H55" s="8" t="s">
        <v>371</v>
      </c>
    </row>
    <row r="56">
      <c r="A56" s="8" t="s">
        <v>62</v>
      </c>
      <c r="B56" s="8" t="s">
        <v>25</v>
      </c>
      <c r="C56" s="8" t="s">
        <v>69</v>
      </c>
      <c r="D56" s="10">
        <v>5.0</v>
      </c>
      <c r="E56" s="8" t="s">
        <v>397</v>
      </c>
      <c r="F56" s="10">
        <v>3000.0</v>
      </c>
      <c r="G56" s="8" t="s">
        <v>370</v>
      </c>
      <c r="H56" s="8" t="s">
        <v>371</v>
      </c>
    </row>
    <row r="57">
      <c r="A57" s="8" t="s">
        <v>62</v>
      </c>
      <c r="B57" s="8" t="s">
        <v>25</v>
      </c>
      <c r="C57" s="8" t="s">
        <v>69</v>
      </c>
      <c r="D57" s="10">
        <v>6.0</v>
      </c>
      <c r="E57" s="8" t="s">
        <v>398</v>
      </c>
      <c r="F57" s="10">
        <v>0.0</v>
      </c>
      <c r="G57" s="8" t="s">
        <v>370</v>
      </c>
      <c r="H57" s="8" t="s">
        <v>371</v>
      </c>
    </row>
    <row r="58">
      <c r="A58" s="8" t="s">
        <v>67</v>
      </c>
      <c r="B58" s="8" t="s">
        <v>25</v>
      </c>
      <c r="C58" s="8" t="s">
        <v>69</v>
      </c>
      <c r="D58" s="10">
        <v>1.0</v>
      </c>
      <c r="E58" s="8" t="s">
        <v>397</v>
      </c>
      <c r="F58" s="10">
        <v>3500.0</v>
      </c>
      <c r="G58" s="8" t="s">
        <v>370</v>
      </c>
      <c r="H58" s="8" t="s">
        <v>371</v>
      </c>
    </row>
    <row r="59">
      <c r="A59" s="8" t="s">
        <v>67</v>
      </c>
      <c r="B59" s="8" t="s">
        <v>25</v>
      </c>
      <c r="C59" s="8" t="s">
        <v>69</v>
      </c>
      <c r="D59" s="10">
        <v>2.0</v>
      </c>
      <c r="E59" s="8" t="s">
        <v>396</v>
      </c>
      <c r="F59" s="10">
        <v>0.0</v>
      </c>
      <c r="G59" s="8" t="s">
        <v>370</v>
      </c>
      <c r="H59" s="8" t="s">
        <v>371</v>
      </c>
    </row>
    <row r="60">
      <c r="A60" s="8" t="s">
        <v>67</v>
      </c>
      <c r="B60" s="8" t="s">
        <v>25</v>
      </c>
      <c r="C60" s="8" t="s">
        <v>69</v>
      </c>
      <c r="D60" s="10">
        <v>3.0</v>
      </c>
      <c r="E60" s="8" t="s">
        <v>397</v>
      </c>
      <c r="F60" s="10">
        <v>0.0</v>
      </c>
      <c r="G60" s="8" t="s">
        <v>370</v>
      </c>
      <c r="H60" s="8" t="s">
        <v>371</v>
      </c>
    </row>
    <row r="61">
      <c r="A61" s="8" t="s">
        <v>67</v>
      </c>
      <c r="B61" s="8" t="s">
        <v>25</v>
      </c>
      <c r="C61" s="8" t="s">
        <v>69</v>
      </c>
      <c r="D61" s="10">
        <v>4.0</v>
      </c>
      <c r="E61" s="8" t="s">
        <v>395</v>
      </c>
      <c r="F61" s="10">
        <v>0.0</v>
      </c>
      <c r="G61" s="8" t="s">
        <v>370</v>
      </c>
      <c r="H61" s="8" t="s">
        <v>371</v>
      </c>
    </row>
    <row r="62">
      <c r="A62" s="8" t="s">
        <v>67</v>
      </c>
      <c r="B62" s="8" t="s">
        <v>25</v>
      </c>
      <c r="C62" s="8" t="s">
        <v>69</v>
      </c>
      <c r="D62" s="10">
        <v>5.0</v>
      </c>
      <c r="E62" s="8" t="s">
        <v>397</v>
      </c>
      <c r="F62" s="10">
        <v>3000.0</v>
      </c>
      <c r="G62" s="8" t="s">
        <v>370</v>
      </c>
      <c r="H62" s="8" t="s">
        <v>371</v>
      </c>
    </row>
    <row r="63">
      <c r="A63" s="8" t="s">
        <v>67</v>
      </c>
      <c r="B63" s="8" t="s">
        <v>25</v>
      </c>
      <c r="C63" s="8" t="s">
        <v>69</v>
      </c>
      <c r="D63" s="10">
        <v>6.0</v>
      </c>
      <c r="E63" s="8" t="s">
        <v>398</v>
      </c>
      <c r="F63" s="10">
        <v>0.0</v>
      </c>
      <c r="G63" s="8" t="s">
        <v>370</v>
      </c>
      <c r="H63" s="8" t="s">
        <v>371</v>
      </c>
    </row>
    <row r="64">
      <c r="A64" s="8" t="s">
        <v>16</v>
      </c>
      <c r="B64" s="8" t="s">
        <v>25</v>
      </c>
      <c r="C64" s="8" t="s">
        <v>69</v>
      </c>
      <c r="D64" s="10">
        <v>1.0</v>
      </c>
      <c r="E64" s="8" t="s">
        <v>395</v>
      </c>
      <c r="F64" s="10">
        <v>3500.0</v>
      </c>
      <c r="G64" s="8" t="s">
        <v>370</v>
      </c>
      <c r="H64" s="8" t="s">
        <v>371</v>
      </c>
    </row>
    <row r="65">
      <c r="A65" s="8" t="s">
        <v>16</v>
      </c>
      <c r="B65" s="8" t="s">
        <v>25</v>
      </c>
      <c r="C65" s="8" t="s">
        <v>69</v>
      </c>
      <c r="D65" s="10">
        <v>2.0</v>
      </c>
      <c r="E65" s="8" t="s">
        <v>396</v>
      </c>
      <c r="F65" s="10">
        <v>0.0</v>
      </c>
      <c r="G65" s="8" t="s">
        <v>370</v>
      </c>
      <c r="H65" s="8" t="s">
        <v>371</v>
      </c>
    </row>
    <row r="66">
      <c r="A66" s="8" t="s">
        <v>16</v>
      </c>
      <c r="B66" s="8" t="s">
        <v>25</v>
      </c>
      <c r="C66" s="8" t="s">
        <v>69</v>
      </c>
      <c r="D66" s="10">
        <v>3.0</v>
      </c>
      <c r="E66" s="8" t="s">
        <v>397</v>
      </c>
      <c r="F66" s="10">
        <v>7000.0</v>
      </c>
      <c r="G66" s="8" t="s">
        <v>370</v>
      </c>
      <c r="H66" s="8" t="s">
        <v>371</v>
      </c>
    </row>
    <row r="67">
      <c r="A67" s="8" t="s">
        <v>16</v>
      </c>
      <c r="B67" s="8" t="s">
        <v>25</v>
      </c>
      <c r="C67" s="8" t="s">
        <v>69</v>
      </c>
      <c r="D67" s="10">
        <v>4.0</v>
      </c>
      <c r="E67" s="8" t="s">
        <v>398</v>
      </c>
      <c r="F67" s="10">
        <v>0.0</v>
      </c>
      <c r="G67" s="8" t="s">
        <v>370</v>
      </c>
      <c r="H67" s="8" t="s">
        <v>371</v>
      </c>
    </row>
    <row r="68">
      <c r="A68" s="8" t="s">
        <v>70</v>
      </c>
      <c r="B68" s="8" t="s">
        <v>25</v>
      </c>
      <c r="C68" s="8" t="s">
        <v>189</v>
      </c>
      <c r="D68" s="10">
        <v>1.0</v>
      </c>
      <c r="E68" s="8" t="s">
        <v>397</v>
      </c>
      <c r="F68" s="10">
        <v>0.0</v>
      </c>
      <c r="G68" s="8" t="s">
        <v>370</v>
      </c>
      <c r="H68" s="8" t="s">
        <v>371</v>
      </c>
    </row>
    <row r="69">
      <c r="A69" s="8" t="s">
        <v>70</v>
      </c>
      <c r="B69" s="8" t="s">
        <v>25</v>
      </c>
      <c r="C69" s="8" t="s">
        <v>189</v>
      </c>
      <c r="D69" s="10">
        <v>2.0</v>
      </c>
      <c r="E69" s="8" t="s">
        <v>396</v>
      </c>
      <c r="F69" s="10">
        <v>3000.0</v>
      </c>
      <c r="G69" s="8" t="s">
        <v>370</v>
      </c>
      <c r="H69" s="8" t="s">
        <v>371</v>
      </c>
    </row>
    <row r="70">
      <c r="A70" s="8" t="s">
        <v>70</v>
      </c>
      <c r="B70" s="8" t="s">
        <v>25</v>
      </c>
      <c r="C70" s="8" t="s">
        <v>189</v>
      </c>
      <c r="D70" s="10">
        <v>3.0</v>
      </c>
      <c r="E70" s="8" t="s">
        <v>397</v>
      </c>
      <c r="F70" s="10">
        <v>0.0</v>
      </c>
      <c r="G70" s="8" t="s">
        <v>370</v>
      </c>
      <c r="H70" s="8" t="s">
        <v>371</v>
      </c>
    </row>
    <row r="71">
      <c r="A71" s="8" t="s">
        <v>70</v>
      </c>
      <c r="B71" s="8" t="s">
        <v>25</v>
      </c>
      <c r="C71" s="8" t="s">
        <v>189</v>
      </c>
      <c r="D71" s="10">
        <v>4.0</v>
      </c>
      <c r="E71" s="8" t="s">
        <v>395</v>
      </c>
      <c r="F71" s="10">
        <v>3500.0</v>
      </c>
      <c r="G71" s="8" t="s">
        <v>370</v>
      </c>
      <c r="H71" s="8" t="s">
        <v>371</v>
      </c>
    </row>
    <row r="72">
      <c r="A72" s="8" t="s">
        <v>70</v>
      </c>
      <c r="B72" s="8" t="s">
        <v>25</v>
      </c>
      <c r="C72" s="8" t="s">
        <v>189</v>
      </c>
      <c r="D72" s="10">
        <v>5.0</v>
      </c>
      <c r="E72" s="8" t="s">
        <v>395</v>
      </c>
      <c r="F72" s="10">
        <v>0.0</v>
      </c>
      <c r="G72" s="8" t="s">
        <v>370</v>
      </c>
      <c r="H72" s="8" t="s">
        <v>371</v>
      </c>
    </row>
    <row r="73">
      <c r="A73" s="8" t="s">
        <v>74</v>
      </c>
      <c r="B73" s="8" t="s">
        <v>25</v>
      </c>
      <c r="C73" s="8" t="s">
        <v>52</v>
      </c>
      <c r="D73" s="10">
        <v>1.0</v>
      </c>
      <c r="E73" s="8" t="s">
        <v>397</v>
      </c>
      <c r="F73" s="10">
        <v>5000.0</v>
      </c>
      <c r="G73" s="8" t="s">
        <v>370</v>
      </c>
      <c r="H73" s="8" t="s">
        <v>371</v>
      </c>
    </row>
    <row r="74">
      <c r="A74" s="8" t="s">
        <v>74</v>
      </c>
      <c r="B74" s="8" t="s">
        <v>25</v>
      </c>
      <c r="C74" s="8" t="s">
        <v>52</v>
      </c>
      <c r="D74" s="10">
        <v>2.0</v>
      </c>
      <c r="E74" s="8" t="s">
        <v>396</v>
      </c>
      <c r="F74" s="10">
        <v>0.0</v>
      </c>
      <c r="G74" s="8" t="s">
        <v>370</v>
      </c>
      <c r="H74" s="8" t="s">
        <v>371</v>
      </c>
    </row>
    <row r="75">
      <c r="A75" s="8" t="s">
        <v>74</v>
      </c>
      <c r="B75" s="8" t="s">
        <v>25</v>
      </c>
      <c r="C75" s="8" t="s">
        <v>52</v>
      </c>
      <c r="D75" s="10">
        <v>3.0</v>
      </c>
      <c r="E75" s="8" t="s">
        <v>397</v>
      </c>
      <c r="F75" s="10">
        <v>3500.0</v>
      </c>
      <c r="G75" s="8" t="s">
        <v>370</v>
      </c>
      <c r="H75" s="8" t="s">
        <v>371</v>
      </c>
    </row>
    <row r="76">
      <c r="A76" s="8" t="s">
        <v>74</v>
      </c>
      <c r="B76" s="8" t="s">
        <v>25</v>
      </c>
      <c r="C76" s="8" t="s">
        <v>52</v>
      </c>
      <c r="D76" s="10">
        <v>4.0</v>
      </c>
      <c r="E76" s="8" t="s">
        <v>395</v>
      </c>
      <c r="F76" s="10">
        <v>3000.0</v>
      </c>
      <c r="G76" s="8" t="s">
        <v>370</v>
      </c>
      <c r="H76" s="8" t="s">
        <v>371</v>
      </c>
    </row>
    <row r="77">
      <c r="A77" s="8" t="s">
        <v>74</v>
      </c>
      <c r="B77" s="8" t="s">
        <v>25</v>
      </c>
      <c r="C77" s="8" t="s">
        <v>52</v>
      </c>
      <c r="D77" s="10">
        <v>5.0</v>
      </c>
      <c r="E77" s="8" t="s">
        <v>395</v>
      </c>
      <c r="F77" s="10">
        <v>0.0</v>
      </c>
      <c r="G77" s="8" t="s">
        <v>370</v>
      </c>
      <c r="H77" s="8" t="s">
        <v>371</v>
      </c>
    </row>
    <row r="78">
      <c r="A78" s="8" t="s">
        <v>74</v>
      </c>
      <c r="B78" s="8" t="s">
        <v>25</v>
      </c>
      <c r="C78" s="8" t="s">
        <v>52</v>
      </c>
      <c r="D78" s="10">
        <v>6.0</v>
      </c>
      <c r="E78" s="8" t="s">
        <v>397</v>
      </c>
      <c r="F78" s="10">
        <v>8000.0</v>
      </c>
      <c r="G78" s="8" t="s">
        <v>370</v>
      </c>
      <c r="H78" s="8" t="s">
        <v>371</v>
      </c>
    </row>
    <row r="79">
      <c r="A79" s="8" t="s">
        <v>74</v>
      </c>
      <c r="B79" s="8" t="s">
        <v>25</v>
      </c>
      <c r="C79" s="8" t="s">
        <v>52</v>
      </c>
      <c r="D79" s="10">
        <v>7.0</v>
      </c>
      <c r="E79" s="8" t="s">
        <v>395</v>
      </c>
      <c r="F79" s="10">
        <v>0.0</v>
      </c>
      <c r="G79" s="8" t="s">
        <v>370</v>
      </c>
      <c r="H79" s="8" t="s">
        <v>371</v>
      </c>
    </row>
    <row r="80">
      <c r="A80" s="8" t="s">
        <v>76</v>
      </c>
      <c r="B80" s="8" t="s">
        <v>25</v>
      </c>
      <c r="C80" s="8" t="s">
        <v>115</v>
      </c>
      <c r="D80" s="10">
        <v>1.0</v>
      </c>
      <c r="E80" s="8" t="s">
        <v>397</v>
      </c>
      <c r="F80" s="10">
        <v>0.0</v>
      </c>
      <c r="G80" s="8" t="s">
        <v>370</v>
      </c>
      <c r="H80" s="8" t="s">
        <v>371</v>
      </c>
    </row>
    <row r="81">
      <c r="A81" s="8" t="s">
        <v>76</v>
      </c>
      <c r="B81" s="8" t="s">
        <v>25</v>
      </c>
      <c r="C81" s="8" t="s">
        <v>115</v>
      </c>
      <c r="D81" s="10">
        <v>2.0</v>
      </c>
      <c r="E81" s="8" t="s">
        <v>396</v>
      </c>
      <c r="F81" s="10">
        <v>3000.0</v>
      </c>
      <c r="G81" s="8" t="s">
        <v>370</v>
      </c>
      <c r="H81" s="8" t="s">
        <v>371</v>
      </c>
    </row>
    <row r="82">
      <c r="A82" s="8" t="s">
        <v>76</v>
      </c>
      <c r="B82" s="8" t="s">
        <v>25</v>
      </c>
      <c r="C82" s="8" t="s">
        <v>115</v>
      </c>
      <c r="D82" s="10">
        <v>3.0</v>
      </c>
      <c r="E82" s="8" t="s">
        <v>397</v>
      </c>
      <c r="F82" s="10">
        <v>0.0</v>
      </c>
      <c r="G82" s="8" t="s">
        <v>370</v>
      </c>
      <c r="H82" s="8" t="s">
        <v>371</v>
      </c>
    </row>
    <row r="83">
      <c r="A83" s="8" t="s">
        <v>76</v>
      </c>
      <c r="B83" s="8" t="s">
        <v>25</v>
      </c>
      <c r="C83" s="8" t="s">
        <v>115</v>
      </c>
      <c r="D83" s="10">
        <v>4.0</v>
      </c>
      <c r="E83" s="8" t="s">
        <v>395</v>
      </c>
      <c r="F83" s="10">
        <v>3500.0</v>
      </c>
      <c r="G83" s="8" t="s">
        <v>370</v>
      </c>
      <c r="H83" s="8" t="s">
        <v>371</v>
      </c>
    </row>
    <row r="84">
      <c r="A84" s="8" t="s">
        <v>76</v>
      </c>
      <c r="B84" s="8" t="s">
        <v>25</v>
      </c>
      <c r="C84" s="8" t="s">
        <v>115</v>
      </c>
      <c r="D84" s="10">
        <v>5.0</v>
      </c>
      <c r="E84" s="8" t="s">
        <v>395</v>
      </c>
      <c r="F84" s="10">
        <v>0.0</v>
      </c>
      <c r="G84" s="8" t="s">
        <v>370</v>
      </c>
      <c r="H84" s="8" t="s">
        <v>371</v>
      </c>
    </row>
    <row r="85">
      <c r="A85" s="8" t="s">
        <v>76</v>
      </c>
      <c r="B85" s="8" t="s">
        <v>25</v>
      </c>
      <c r="C85" s="8" t="s">
        <v>115</v>
      </c>
      <c r="D85" s="10">
        <v>6.0</v>
      </c>
      <c r="E85" s="8" t="s">
        <v>397</v>
      </c>
      <c r="F85" s="10">
        <v>0.0</v>
      </c>
      <c r="G85" s="8" t="s">
        <v>370</v>
      </c>
      <c r="H85" s="8" t="s">
        <v>371</v>
      </c>
    </row>
    <row r="86">
      <c r="A86" s="8" t="s">
        <v>76</v>
      </c>
      <c r="B86" s="8" t="s">
        <v>25</v>
      </c>
      <c r="C86" s="8" t="s">
        <v>115</v>
      </c>
      <c r="D86" s="10">
        <v>7.0</v>
      </c>
      <c r="E86" s="8" t="s">
        <v>395</v>
      </c>
      <c r="F86" s="10">
        <v>0.0</v>
      </c>
      <c r="G86" s="8" t="s">
        <v>370</v>
      </c>
      <c r="H86" s="8" t="s">
        <v>371</v>
      </c>
    </row>
    <row r="87">
      <c r="A87" s="8" t="s">
        <v>78</v>
      </c>
      <c r="B87" s="8" t="s">
        <v>25</v>
      </c>
      <c r="C87" s="8" t="s">
        <v>52</v>
      </c>
      <c r="D87" s="10">
        <v>1.0</v>
      </c>
      <c r="E87" s="8" t="s">
        <v>397</v>
      </c>
      <c r="F87" s="10">
        <v>3000.0</v>
      </c>
      <c r="G87" s="8" t="s">
        <v>370</v>
      </c>
      <c r="H87" s="8" t="s">
        <v>371</v>
      </c>
    </row>
    <row r="88">
      <c r="A88" s="8" t="s">
        <v>78</v>
      </c>
      <c r="B88" s="8" t="s">
        <v>25</v>
      </c>
      <c r="C88" s="8" t="s">
        <v>52</v>
      </c>
      <c r="D88" s="10">
        <v>2.0</v>
      </c>
      <c r="E88" s="8" t="s">
        <v>396</v>
      </c>
      <c r="F88" s="10">
        <v>0.0</v>
      </c>
      <c r="G88" s="8" t="s">
        <v>370</v>
      </c>
      <c r="H88" s="8" t="s">
        <v>371</v>
      </c>
    </row>
    <row r="89">
      <c r="A89" s="8" t="s">
        <v>78</v>
      </c>
      <c r="B89" s="8" t="s">
        <v>25</v>
      </c>
      <c r="C89" s="8" t="s">
        <v>52</v>
      </c>
      <c r="D89" s="10">
        <v>3.0</v>
      </c>
      <c r="E89" s="8" t="s">
        <v>397</v>
      </c>
      <c r="F89" s="10">
        <v>3500.0</v>
      </c>
      <c r="G89" s="8" t="s">
        <v>370</v>
      </c>
      <c r="H89" s="8" t="s">
        <v>371</v>
      </c>
    </row>
    <row r="90">
      <c r="A90" s="8" t="s">
        <v>78</v>
      </c>
      <c r="B90" s="8" t="s">
        <v>25</v>
      </c>
      <c r="C90" s="8" t="s">
        <v>52</v>
      </c>
      <c r="D90" s="10">
        <v>4.0</v>
      </c>
      <c r="E90" s="8" t="s">
        <v>395</v>
      </c>
      <c r="F90" s="10">
        <v>0.0</v>
      </c>
      <c r="G90" s="8" t="s">
        <v>370</v>
      </c>
      <c r="H90" s="8" t="s">
        <v>371</v>
      </c>
    </row>
    <row r="91">
      <c r="A91" s="8" t="s">
        <v>78</v>
      </c>
      <c r="B91" s="8" t="s">
        <v>25</v>
      </c>
      <c r="C91" s="8" t="s">
        <v>52</v>
      </c>
      <c r="D91" s="10">
        <v>5.0</v>
      </c>
      <c r="E91" s="8" t="s">
        <v>395</v>
      </c>
      <c r="F91" s="10">
        <v>0.0</v>
      </c>
      <c r="G91" s="8" t="s">
        <v>370</v>
      </c>
      <c r="H91" s="8" t="s">
        <v>371</v>
      </c>
    </row>
    <row r="92">
      <c r="A92" s="8" t="s">
        <v>81</v>
      </c>
      <c r="B92" s="8" t="s">
        <v>25</v>
      </c>
      <c r="C92" s="8" t="s">
        <v>52</v>
      </c>
      <c r="D92" s="10">
        <v>1.0</v>
      </c>
      <c r="E92" s="8" t="s">
        <v>397</v>
      </c>
      <c r="F92" s="10">
        <v>0.0</v>
      </c>
      <c r="G92" s="8" t="s">
        <v>370</v>
      </c>
      <c r="H92" s="8" t="s">
        <v>371</v>
      </c>
    </row>
    <row r="93">
      <c r="A93" s="8" t="s">
        <v>81</v>
      </c>
      <c r="B93" s="8" t="s">
        <v>25</v>
      </c>
      <c r="C93" s="8" t="s">
        <v>52</v>
      </c>
      <c r="D93" s="10">
        <v>2.0</v>
      </c>
      <c r="E93" s="8" t="s">
        <v>396</v>
      </c>
      <c r="F93" s="10">
        <v>0.0</v>
      </c>
      <c r="G93" s="8" t="s">
        <v>370</v>
      </c>
      <c r="H93" s="8" t="s">
        <v>371</v>
      </c>
    </row>
    <row r="94">
      <c r="A94" s="8" t="s">
        <v>81</v>
      </c>
      <c r="B94" s="8" t="s">
        <v>25</v>
      </c>
      <c r="C94" s="8" t="s">
        <v>52</v>
      </c>
      <c r="D94" s="10">
        <v>3.0</v>
      </c>
      <c r="E94" s="8" t="s">
        <v>397</v>
      </c>
      <c r="F94" s="10">
        <v>0.0</v>
      </c>
      <c r="G94" s="8" t="s">
        <v>370</v>
      </c>
      <c r="H94" s="8" t="s">
        <v>371</v>
      </c>
    </row>
    <row r="95">
      <c r="A95" s="8" t="s">
        <v>81</v>
      </c>
      <c r="B95" s="8" t="s">
        <v>25</v>
      </c>
      <c r="C95" s="8" t="s">
        <v>52</v>
      </c>
      <c r="D95" s="10">
        <v>4.0</v>
      </c>
      <c r="E95" s="8" t="s">
        <v>395</v>
      </c>
      <c r="F95" s="10">
        <v>3000.0</v>
      </c>
      <c r="G95" s="8" t="s">
        <v>370</v>
      </c>
      <c r="H95" s="8" t="s">
        <v>371</v>
      </c>
    </row>
    <row r="96">
      <c r="A96" s="8" t="s">
        <v>81</v>
      </c>
      <c r="B96" s="8" t="s">
        <v>25</v>
      </c>
      <c r="C96" s="8" t="s">
        <v>52</v>
      </c>
      <c r="D96" s="10">
        <v>5.0</v>
      </c>
      <c r="E96" s="8" t="s">
        <v>395</v>
      </c>
      <c r="F96" s="10">
        <v>0.0</v>
      </c>
      <c r="G96" s="8" t="s">
        <v>370</v>
      </c>
      <c r="H96" s="8" t="s">
        <v>371</v>
      </c>
    </row>
    <row r="97">
      <c r="A97" s="8" t="s">
        <v>81</v>
      </c>
      <c r="B97" s="8" t="s">
        <v>25</v>
      </c>
      <c r="C97" s="8" t="s">
        <v>52</v>
      </c>
      <c r="D97" s="10">
        <v>6.0</v>
      </c>
      <c r="E97" s="8" t="s">
        <v>397</v>
      </c>
      <c r="F97" s="10">
        <v>3500.0</v>
      </c>
      <c r="G97" s="8" t="s">
        <v>370</v>
      </c>
      <c r="H97" s="8" t="s">
        <v>371</v>
      </c>
    </row>
    <row r="98">
      <c r="A98" s="8" t="s">
        <v>81</v>
      </c>
      <c r="B98" s="8" t="s">
        <v>25</v>
      </c>
      <c r="C98" s="8" t="s">
        <v>52</v>
      </c>
      <c r="D98" s="10">
        <v>7.0</v>
      </c>
      <c r="E98" s="8" t="s">
        <v>395</v>
      </c>
      <c r="F98" s="10">
        <v>0.0</v>
      </c>
      <c r="G98" s="8" t="s">
        <v>370</v>
      </c>
      <c r="H98" s="8" t="s">
        <v>371</v>
      </c>
    </row>
    <row r="99">
      <c r="A99" s="8" t="s">
        <v>83</v>
      </c>
      <c r="B99" s="8" t="s">
        <v>25</v>
      </c>
      <c r="C99" s="8" t="s">
        <v>115</v>
      </c>
      <c r="D99" s="10">
        <v>1.0</v>
      </c>
      <c r="E99" s="8" t="s">
        <v>397</v>
      </c>
      <c r="F99" s="10">
        <v>0.0</v>
      </c>
      <c r="G99" s="8" t="s">
        <v>370</v>
      </c>
      <c r="H99" s="8" t="s">
        <v>371</v>
      </c>
    </row>
    <row r="100">
      <c r="A100" s="8" t="s">
        <v>83</v>
      </c>
      <c r="B100" s="8" t="s">
        <v>25</v>
      </c>
      <c r="C100" s="8" t="s">
        <v>115</v>
      </c>
      <c r="D100" s="10">
        <v>2.0</v>
      </c>
      <c r="E100" s="8" t="s">
        <v>396</v>
      </c>
      <c r="F100" s="10">
        <v>0.0</v>
      </c>
      <c r="G100" s="8" t="s">
        <v>370</v>
      </c>
      <c r="H100" s="8" t="s">
        <v>371</v>
      </c>
    </row>
    <row r="101">
      <c r="A101" s="8" t="s">
        <v>83</v>
      </c>
      <c r="B101" s="8" t="s">
        <v>25</v>
      </c>
      <c r="C101" s="8" t="s">
        <v>115</v>
      </c>
      <c r="D101" s="10">
        <v>3.0</v>
      </c>
      <c r="E101" s="8" t="s">
        <v>397</v>
      </c>
      <c r="F101" s="10">
        <v>0.0</v>
      </c>
      <c r="G101" s="8" t="s">
        <v>370</v>
      </c>
      <c r="H101" s="8" t="s">
        <v>371</v>
      </c>
    </row>
    <row r="102">
      <c r="A102" s="8" t="s">
        <v>83</v>
      </c>
      <c r="B102" s="8" t="s">
        <v>25</v>
      </c>
      <c r="C102" s="8" t="s">
        <v>115</v>
      </c>
      <c r="D102" s="10">
        <v>4.0</v>
      </c>
      <c r="E102" s="8" t="s">
        <v>395</v>
      </c>
      <c r="F102" s="10">
        <v>0.0</v>
      </c>
      <c r="G102" s="8" t="s">
        <v>370</v>
      </c>
      <c r="H102" s="8" t="s">
        <v>371</v>
      </c>
    </row>
    <row r="103">
      <c r="A103" s="8" t="s">
        <v>83</v>
      </c>
      <c r="B103" s="8" t="s">
        <v>25</v>
      </c>
      <c r="C103" s="8" t="s">
        <v>115</v>
      </c>
      <c r="D103" s="10">
        <v>5.0</v>
      </c>
      <c r="E103" s="8" t="s">
        <v>395</v>
      </c>
      <c r="F103" s="10">
        <v>3000.0</v>
      </c>
      <c r="G103" s="8" t="s">
        <v>370</v>
      </c>
      <c r="H103" s="8" t="s">
        <v>371</v>
      </c>
    </row>
    <row r="104">
      <c r="A104" s="8" t="s">
        <v>83</v>
      </c>
      <c r="B104" s="8" t="s">
        <v>25</v>
      </c>
      <c r="C104" s="8" t="s">
        <v>115</v>
      </c>
      <c r="D104" s="10">
        <v>6.0</v>
      </c>
      <c r="E104" s="8" t="s">
        <v>397</v>
      </c>
      <c r="F104" s="10">
        <v>0.0</v>
      </c>
      <c r="G104" s="8" t="s">
        <v>370</v>
      </c>
      <c r="H104" s="8" t="s">
        <v>371</v>
      </c>
    </row>
    <row r="105">
      <c r="A105" s="8" t="s">
        <v>83</v>
      </c>
      <c r="B105" s="8" t="s">
        <v>25</v>
      </c>
      <c r="C105" s="8" t="s">
        <v>115</v>
      </c>
      <c r="D105" s="10">
        <v>7.0</v>
      </c>
      <c r="E105" s="8" t="s">
        <v>395</v>
      </c>
      <c r="F105" s="10">
        <v>3500.0</v>
      </c>
      <c r="G105" s="8" t="s">
        <v>370</v>
      </c>
      <c r="H105" s="8" t="s">
        <v>371</v>
      </c>
    </row>
    <row r="106">
      <c r="A106" s="8" t="s">
        <v>85</v>
      </c>
      <c r="B106" s="8" t="s">
        <v>25</v>
      </c>
      <c r="C106" s="8" t="s">
        <v>53</v>
      </c>
      <c r="D106" s="10">
        <v>1.0</v>
      </c>
      <c r="E106" s="8" t="s">
        <v>397</v>
      </c>
      <c r="F106" s="10">
        <v>0.0</v>
      </c>
      <c r="G106" s="8" t="s">
        <v>370</v>
      </c>
      <c r="H106" s="8" t="s">
        <v>371</v>
      </c>
    </row>
    <row r="107">
      <c r="A107" s="8" t="s">
        <v>85</v>
      </c>
      <c r="B107" s="8" t="s">
        <v>25</v>
      </c>
      <c r="C107" s="8" t="s">
        <v>53</v>
      </c>
      <c r="D107" s="10">
        <v>2.0</v>
      </c>
      <c r="E107" s="8" t="s">
        <v>396</v>
      </c>
      <c r="F107" s="10">
        <v>0.0</v>
      </c>
      <c r="G107" s="8" t="s">
        <v>370</v>
      </c>
      <c r="H107" s="8" t="s">
        <v>371</v>
      </c>
    </row>
    <row r="108">
      <c r="A108" s="8" t="s">
        <v>85</v>
      </c>
      <c r="B108" s="8" t="s">
        <v>25</v>
      </c>
      <c r="C108" s="8" t="s">
        <v>53</v>
      </c>
      <c r="D108" s="10">
        <v>3.0</v>
      </c>
      <c r="E108" s="8" t="s">
        <v>397</v>
      </c>
      <c r="F108" s="10">
        <v>0.0</v>
      </c>
      <c r="G108" s="8" t="s">
        <v>370</v>
      </c>
      <c r="H108" s="8" t="s">
        <v>371</v>
      </c>
    </row>
    <row r="109">
      <c r="A109" s="8" t="s">
        <v>85</v>
      </c>
      <c r="B109" s="8" t="s">
        <v>25</v>
      </c>
      <c r="C109" s="8" t="s">
        <v>53</v>
      </c>
      <c r="D109" s="10">
        <v>4.0</v>
      </c>
      <c r="E109" s="8" t="s">
        <v>395</v>
      </c>
      <c r="F109" s="10">
        <v>3000.0</v>
      </c>
      <c r="G109" s="8" t="s">
        <v>370</v>
      </c>
      <c r="H109" s="8" t="s">
        <v>371</v>
      </c>
    </row>
    <row r="110">
      <c r="A110" s="8" t="s">
        <v>85</v>
      </c>
      <c r="B110" s="8" t="s">
        <v>25</v>
      </c>
      <c r="C110" s="8" t="s">
        <v>53</v>
      </c>
      <c r="D110" s="10">
        <v>5.0</v>
      </c>
      <c r="E110" s="8" t="s">
        <v>395</v>
      </c>
      <c r="F110" s="10">
        <v>0.0</v>
      </c>
      <c r="G110" s="8" t="s">
        <v>370</v>
      </c>
      <c r="H110" s="8" t="s">
        <v>371</v>
      </c>
    </row>
    <row r="111">
      <c r="A111" s="8" t="s">
        <v>85</v>
      </c>
      <c r="B111" s="8" t="s">
        <v>25</v>
      </c>
      <c r="C111" s="8" t="s">
        <v>53</v>
      </c>
      <c r="D111" s="10">
        <v>6.0</v>
      </c>
      <c r="E111" s="8" t="s">
        <v>395</v>
      </c>
      <c r="F111" s="10">
        <v>3500.0</v>
      </c>
      <c r="G111" s="8" t="s">
        <v>370</v>
      </c>
      <c r="H111" s="8" t="s">
        <v>371</v>
      </c>
    </row>
    <row r="112">
      <c r="A112" s="8" t="s">
        <v>88</v>
      </c>
      <c r="B112" s="8" t="s">
        <v>25</v>
      </c>
      <c r="C112" s="8" t="s">
        <v>52</v>
      </c>
      <c r="D112" s="10">
        <v>1.0</v>
      </c>
      <c r="E112" s="8" t="s">
        <v>397</v>
      </c>
      <c r="F112" s="10">
        <v>0.0</v>
      </c>
      <c r="G112" s="8" t="s">
        <v>370</v>
      </c>
      <c r="H112" s="8" t="s">
        <v>371</v>
      </c>
    </row>
    <row r="113">
      <c r="A113" s="8" t="s">
        <v>88</v>
      </c>
      <c r="B113" s="8" t="s">
        <v>25</v>
      </c>
      <c r="C113" s="8" t="s">
        <v>52</v>
      </c>
      <c r="D113" s="10">
        <v>2.0</v>
      </c>
      <c r="E113" s="8" t="s">
        <v>396</v>
      </c>
      <c r="F113" s="10">
        <v>0.0</v>
      </c>
      <c r="G113" s="8" t="s">
        <v>370</v>
      </c>
      <c r="H113" s="8" t="s">
        <v>371</v>
      </c>
    </row>
    <row r="114">
      <c r="A114" s="8" t="s">
        <v>88</v>
      </c>
      <c r="B114" s="8" t="s">
        <v>25</v>
      </c>
      <c r="C114" s="8" t="s">
        <v>52</v>
      </c>
      <c r="D114" s="10">
        <v>3.0</v>
      </c>
      <c r="E114" s="8" t="s">
        <v>397</v>
      </c>
      <c r="F114" s="10">
        <v>0.0</v>
      </c>
      <c r="G114" s="8" t="s">
        <v>370</v>
      </c>
      <c r="H114" s="8" t="s">
        <v>371</v>
      </c>
    </row>
    <row r="115">
      <c r="A115" s="8" t="s">
        <v>88</v>
      </c>
      <c r="B115" s="8" t="s">
        <v>25</v>
      </c>
      <c r="C115" s="8" t="s">
        <v>52</v>
      </c>
      <c r="D115" s="10">
        <v>4.0</v>
      </c>
      <c r="E115" s="8" t="s">
        <v>395</v>
      </c>
      <c r="F115" s="10">
        <v>0.0</v>
      </c>
      <c r="G115" s="8" t="s">
        <v>370</v>
      </c>
      <c r="H115" s="8" t="s">
        <v>371</v>
      </c>
    </row>
    <row r="116">
      <c r="A116" s="8" t="s">
        <v>88</v>
      </c>
      <c r="B116" s="8" t="s">
        <v>25</v>
      </c>
      <c r="C116" s="8" t="s">
        <v>52</v>
      </c>
      <c r="D116" s="10">
        <v>5.0</v>
      </c>
      <c r="E116" s="8" t="s">
        <v>397</v>
      </c>
      <c r="F116" s="10">
        <v>0.0</v>
      </c>
      <c r="G116" s="8" t="s">
        <v>370</v>
      </c>
      <c r="H116" s="8" t="s">
        <v>371</v>
      </c>
    </row>
    <row r="117">
      <c r="A117" s="8" t="s">
        <v>88</v>
      </c>
      <c r="B117" s="8" t="s">
        <v>25</v>
      </c>
      <c r="C117" s="8" t="s">
        <v>52</v>
      </c>
      <c r="D117" s="10">
        <v>6.0</v>
      </c>
      <c r="E117" s="8" t="s">
        <v>395</v>
      </c>
      <c r="F117" s="10">
        <v>3000.0</v>
      </c>
      <c r="G117" s="8" t="s">
        <v>370</v>
      </c>
      <c r="H117" s="8" t="s">
        <v>371</v>
      </c>
    </row>
    <row r="118">
      <c r="A118" s="8" t="s">
        <v>90</v>
      </c>
      <c r="B118" s="8" t="s">
        <v>25</v>
      </c>
      <c r="C118" s="8" t="s">
        <v>115</v>
      </c>
      <c r="D118" s="10">
        <v>1.0</v>
      </c>
      <c r="E118" s="8" t="s">
        <v>397</v>
      </c>
      <c r="F118" s="10">
        <v>0.0</v>
      </c>
      <c r="G118" s="8" t="s">
        <v>370</v>
      </c>
      <c r="H118" s="8" t="s">
        <v>371</v>
      </c>
    </row>
    <row r="119">
      <c r="A119" s="8" t="s">
        <v>90</v>
      </c>
      <c r="B119" s="8" t="s">
        <v>25</v>
      </c>
      <c r="C119" s="8" t="s">
        <v>115</v>
      </c>
      <c r="D119" s="10">
        <v>2.0</v>
      </c>
      <c r="E119" s="8" t="s">
        <v>396</v>
      </c>
      <c r="F119" s="10">
        <v>3500.0</v>
      </c>
      <c r="G119" s="8" t="s">
        <v>370</v>
      </c>
      <c r="H119" s="8" t="s">
        <v>371</v>
      </c>
    </row>
    <row r="120">
      <c r="A120" s="8" t="s">
        <v>90</v>
      </c>
      <c r="B120" s="8" t="s">
        <v>25</v>
      </c>
      <c r="C120" s="8" t="s">
        <v>115</v>
      </c>
      <c r="D120" s="10">
        <v>3.0</v>
      </c>
      <c r="E120" s="8" t="s">
        <v>397</v>
      </c>
      <c r="F120" s="10">
        <v>0.0</v>
      </c>
      <c r="G120" s="8" t="s">
        <v>370</v>
      </c>
      <c r="H120" s="8" t="s">
        <v>371</v>
      </c>
    </row>
    <row r="121">
      <c r="A121" s="8" t="s">
        <v>90</v>
      </c>
      <c r="B121" s="8" t="s">
        <v>25</v>
      </c>
      <c r="C121" s="8" t="s">
        <v>115</v>
      </c>
      <c r="D121" s="10">
        <v>4.0</v>
      </c>
      <c r="E121" s="8" t="s">
        <v>395</v>
      </c>
      <c r="F121" s="10">
        <v>0.0</v>
      </c>
      <c r="G121" s="8" t="s">
        <v>370</v>
      </c>
      <c r="H121" s="8" t="s">
        <v>371</v>
      </c>
    </row>
    <row r="122">
      <c r="A122" s="8" t="s">
        <v>90</v>
      </c>
      <c r="B122" s="8" t="s">
        <v>25</v>
      </c>
      <c r="C122" s="8" t="s">
        <v>115</v>
      </c>
      <c r="D122" s="10">
        <v>5.0</v>
      </c>
      <c r="E122" s="8" t="s">
        <v>397</v>
      </c>
      <c r="F122" s="10">
        <v>0.0</v>
      </c>
      <c r="G122" s="8" t="s">
        <v>370</v>
      </c>
      <c r="H122" s="8" t="s">
        <v>371</v>
      </c>
    </row>
    <row r="123">
      <c r="A123" s="8" t="s">
        <v>90</v>
      </c>
      <c r="B123" s="8" t="s">
        <v>25</v>
      </c>
      <c r="C123" s="8" t="s">
        <v>115</v>
      </c>
      <c r="D123" s="10">
        <v>6.0</v>
      </c>
      <c r="E123" s="8" t="s">
        <v>395</v>
      </c>
      <c r="F123" s="10">
        <v>0.0</v>
      </c>
      <c r="G123" s="8" t="s">
        <v>370</v>
      </c>
      <c r="H123" s="8" t="s">
        <v>371</v>
      </c>
    </row>
    <row r="124">
      <c r="A124" s="8" t="s">
        <v>92</v>
      </c>
      <c r="B124" s="8" t="s">
        <v>25</v>
      </c>
      <c r="C124" s="8" t="s">
        <v>53</v>
      </c>
      <c r="D124" s="10">
        <v>1.0</v>
      </c>
      <c r="E124" s="8" t="s">
        <v>397</v>
      </c>
      <c r="F124" s="10">
        <v>0.0</v>
      </c>
      <c r="G124" s="8" t="s">
        <v>370</v>
      </c>
      <c r="H124" s="8" t="s">
        <v>371</v>
      </c>
    </row>
    <row r="125">
      <c r="A125" s="8" t="s">
        <v>92</v>
      </c>
      <c r="B125" s="8" t="s">
        <v>25</v>
      </c>
      <c r="C125" s="8" t="s">
        <v>53</v>
      </c>
      <c r="D125" s="10">
        <v>2.0</v>
      </c>
      <c r="E125" s="8" t="s">
        <v>396</v>
      </c>
      <c r="F125" s="10">
        <v>3000.0</v>
      </c>
      <c r="G125" s="8" t="s">
        <v>370</v>
      </c>
      <c r="H125" s="8" t="s">
        <v>371</v>
      </c>
    </row>
    <row r="126">
      <c r="A126" s="8" t="s">
        <v>92</v>
      </c>
      <c r="B126" s="8" t="s">
        <v>25</v>
      </c>
      <c r="C126" s="8" t="s">
        <v>53</v>
      </c>
      <c r="D126" s="10">
        <v>3.0</v>
      </c>
      <c r="E126" s="8" t="s">
        <v>397</v>
      </c>
      <c r="F126" s="10">
        <v>0.0</v>
      </c>
      <c r="G126" s="8" t="s">
        <v>370</v>
      </c>
      <c r="H126" s="8" t="s">
        <v>371</v>
      </c>
    </row>
    <row r="127">
      <c r="A127" s="8" t="s">
        <v>92</v>
      </c>
      <c r="B127" s="8" t="s">
        <v>25</v>
      </c>
      <c r="C127" s="8" t="s">
        <v>53</v>
      </c>
      <c r="D127" s="10">
        <v>4.0</v>
      </c>
      <c r="E127" s="8" t="s">
        <v>395</v>
      </c>
      <c r="F127" s="10">
        <v>3500.0</v>
      </c>
      <c r="G127" s="8" t="s">
        <v>370</v>
      </c>
      <c r="H127" s="8" t="s">
        <v>371</v>
      </c>
    </row>
    <row r="128">
      <c r="A128" s="8" t="s">
        <v>92</v>
      </c>
      <c r="B128" s="8" t="s">
        <v>25</v>
      </c>
      <c r="C128" s="8" t="s">
        <v>53</v>
      </c>
      <c r="D128" s="10">
        <v>5.0</v>
      </c>
      <c r="E128" s="8" t="s">
        <v>395</v>
      </c>
      <c r="F128" s="10">
        <v>0.0</v>
      </c>
      <c r="G128" s="8" t="s">
        <v>370</v>
      </c>
      <c r="H128" s="8" t="s">
        <v>371</v>
      </c>
    </row>
    <row r="129">
      <c r="A129" s="8" t="s">
        <v>226</v>
      </c>
      <c r="B129" s="8" t="s">
        <v>25</v>
      </c>
      <c r="C129" s="8" t="s">
        <v>53</v>
      </c>
      <c r="D129" s="10">
        <v>1.0</v>
      </c>
      <c r="E129" s="8" t="s">
        <v>395</v>
      </c>
      <c r="F129" s="10">
        <v>0.0</v>
      </c>
      <c r="G129" s="8" t="s">
        <v>370</v>
      </c>
      <c r="H129" s="8" t="s">
        <v>371</v>
      </c>
    </row>
    <row r="130">
      <c r="A130" s="8" t="s">
        <v>226</v>
      </c>
      <c r="B130" s="8" t="s">
        <v>25</v>
      </c>
      <c r="C130" s="8" t="s">
        <v>53</v>
      </c>
      <c r="D130" s="10">
        <v>2.0</v>
      </c>
      <c r="E130" s="8" t="s">
        <v>396</v>
      </c>
      <c r="F130" s="10">
        <v>0.0</v>
      </c>
      <c r="G130" s="8" t="s">
        <v>370</v>
      </c>
      <c r="H130" s="8" t="s">
        <v>371</v>
      </c>
    </row>
    <row r="131">
      <c r="A131" s="8" t="s">
        <v>226</v>
      </c>
      <c r="B131" s="8" t="s">
        <v>25</v>
      </c>
      <c r="C131" s="8" t="s">
        <v>53</v>
      </c>
      <c r="D131" s="10">
        <v>3.0</v>
      </c>
      <c r="E131" s="8" t="s">
        <v>397</v>
      </c>
      <c r="F131" s="10">
        <v>0.0</v>
      </c>
      <c r="G131" s="8" t="s">
        <v>370</v>
      </c>
      <c r="H131" s="8" t="s">
        <v>371</v>
      </c>
    </row>
    <row r="132">
      <c r="A132" s="8" t="s">
        <v>226</v>
      </c>
      <c r="B132" s="8" t="s">
        <v>25</v>
      </c>
      <c r="C132" s="8" t="s">
        <v>53</v>
      </c>
      <c r="D132" s="10">
        <v>4.0</v>
      </c>
      <c r="E132" s="8" t="s">
        <v>395</v>
      </c>
      <c r="F132" s="10">
        <v>3000.0</v>
      </c>
      <c r="G132" s="8" t="s">
        <v>370</v>
      </c>
      <c r="H132" s="8" t="s">
        <v>371</v>
      </c>
    </row>
    <row r="133">
      <c r="A133" s="8" t="s">
        <v>226</v>
      </c>
      <c r="B133" s="8" t="s">
        <v>25</v>
      </c>
      <c r="C133" s="8" t="s">
        <v>53</v>
      </c>
      <c r="D133" s="10">
        <v>5.0</v>
      </c>
      <c r="E133" s="8" t="s">
        <v>395</v>
      </c>
      <c r="F133" s="10">
        <v>0.0</v>
      </c>
      <c r="G133" s="8" t="s">
        <v>370</v>
      </c>
      <c r="H133" s="8" t="s">
        <v>371</v>
      </c>
    </row>
    <row r="134">
      <c r="A134" s="8" t="s">
        <v>96</v>
      </c>
      <c r="B134" s="8" t="s">
        <v>25</v>
      </c>
      <c r="C134" s="8" t="s">
        <v>53</v>
      </c>
      <c r="D134" s="10">
        <v>1.0</v>
      </c>
      <c r="E134" s="8" t="s">
        <v>397</v>
      </c>
      <c r="F134" s="10">
        <v>3500.0</v>
      </c>
      <c r="G134" s="8" t="s">
        <v>370</v>
      </c>
      <c r="H134" s="8" t="s">
        <v>371</v>
      </c>
    </row>
    <row r="135">
      <c r="A135" s="8" t="s">
        <v>96</v>
      </c>
      <c r="B135" s="8" t="s">
        <v>25</v>
      </c>
      <c r="C135" s="8" t="s">
        <v>53</v>
      </c>
      <c r="D135" s="10">
        <v>2.0</v>
      </c>
      <c r="E135" s="8" t="s">
        <v>396</v>
      </c>
      <c r="F135" s="10">
        <v>0.0</v>
      </c>
      <c r="G135" s="8" t="s">
        <v>370</v>
      </c>
      <c r="H135" s="8" t="s">
        <v>371</v>
      </c>
    </row>
    <row r="136">
      <c r="A136" s="8" t="s">
        <v>96</v>
      </c>
      <c r="B136" s="8" t="s">
        <v>25</v>
      </c>
      <c r="C136" s="8" t="s">
        <v>53</v>
      </c>
      <c r="D136" s="10">
        <v>3.0</v>
      </c>
      <c r="E136" s="8" t="s">
        <v>397</v>
      </c>
      <c r="F136" s="10">
        <v>0.0</v>
      </c>
      <c r="G136" s="8" t="s">
        <v>370</v>
      </c>
      <c r="H136" s="8" t="s">
        <v>371</v>
      </c>
    </row>
    <row r="137">
      <c r="A137" s="8" t="s">
        <v>96</v>
      </c>
      <c r="B137" s="8" t="s">
        <v>25</v>
      </c>
      <c r="C137" s="8" t="s">
        <v>53</v>
      </c>
      <c r="D137" s="10">
        <v>4.0</v>
      </c>
      <c r="E137" s="8" t="s">
        <v>395</v>
      </c>
      <c r="F137" s="10">
        <v>0.0</v>
      </c>
      <c r="G137" s="8" t="s">
        <v>370</v>
      </c>
      <c r="H137" s="8" t="s">
        <v>371</v>
      </c>
    </row>
    <row r="138">
      <c r="A138" s="8" t="s">
        <v>96</v>
      </c>
      <c r="B138" s="8" t="s">
        <v>25</v>
      </c>
      <c r="C138" s="8" t="s">
        <v>53</v>
      </c>
      <c r="D138" s="10">
        <v>5.0</v>
      </c>
      <c r="E138" s="8" t="s">
        <v>395</v>
      </c>
      <c r="F138" s="10">
        <v>0.0</v>
      </c>
      <c r="G138" s="8" t="s">
        <v>370</v>
      </c>
      <c r="H138" s="8" t="s">
        <v>371</v>
      </c>
    </row>
    <row r="139">
      <c r="A139" s="8" t="s">
        <v>99</v>
      </c>
      <c r="B139" s="8" t="s">
        <v>25</v>
      </c>
      <c r="C139" s="8" t="s">
        <v>52</v>
      </c>
      <c r="D139" s="10">
        <v>1.0</v>
      </c>
      <c r="E139" s="8" t="s">
        <v>397</v>
      </c>
      <c r="F139" s="10">
        <v>3000.0</v>
      </c>
      <c r="G139" s="8" t="s">
        <v>370</v>
      </c>
      <c r="H139" s="8" t="s">
        <v>371</v>
      </c>
    </row>
    <row r="140">
      <c r="A140" s="8" t="s">
        <v>99</v>
      </c>
      <c r="B140" s="8" t="s">
        <v>25</v>
      </c>
      <c r="C140" s="8" t="s">
        <v>52</v>
      </c>
      <c r="D140" s="10">
        <v>2.0</v>
      </c>
      <c r="E140" s="8" t="s">
        <v>396</v>
      </c>
      <c r="F140" s="10">
        <v>0.0</v>
      </c>
      <c r="G140" s="8" t="s">
        <v>370</v>
      </c>
      <c r="H140" s="8" t="s">
        <v>371</v>
      </c>
    </row>
    <row r="141">
      <c r="A141" s="8" t="s">
        <v>99</v>
      </c>
      <c r="B141" s="8" t="s">
        <v>25</v>
      </c>
      <c r="C141" s="8" t="s">
        <v>52</v>
      </c>
      <c r="D141" s="10">
        <v>3.0</v>
      </c>
      <c r="E141" s="8" t="s">
        <v>397</v>
      </c>
      <c r="F141" s="10">
        <v>3500.0</v>
      </c>
      <c r="G141" s="8" t="s">
        <v>370</v>
      </c>
      <c r="H141" s="8" t="s">
        <v>371</v>
      </c>
    </row>
    <row r="142">
      <c r="A142" s="8" t="s">
        <v>99</v>
      </c>
      <c r="B142" s="8" t="s">
        <v>25</v>
      </c>
      <c r="C142" s="8" t="s">
        <v>52</v>
      </c>
      <c r="D142" s="10">
        <v>4.0</v>
      </c>
      <c r="E142" s="8" t="s">
        <v>395</v>
      </c>
      <c r="F142" s="10">
        <v>0.0</v>
      </c>
      <c r="G142" s="8" t="s">
        <v>370</v>
      </c>
      <c r="H142" s="8" t="s">
        <v>371</v>
      </c>
    </row>
    <row r="143">
      <c r="A143" s="8" t="s">
        <v>102</v>
      </c>
      <c r="B143" s="8" t="s">
        <v>25</v>
      </c>
      <c r="C143" s="8" t="s">
        <v>218</v>
      </c>
      <c r="D143" s="10">
        <v>1.0</v>
      </c>
      <c r="E143" s="8" t="s">
        <v>397</v>
      </c>
      <c r="F143" s="10">
        <v>0.0</v>
      </c>
      <c r="G143" s="8" t="s">
        <v>370</v>
      </c>
      <c r="H143" s="8" t="s">
        <v>371</v>
      </c>
    </row>
    <row r="144">
      <c r="A144" s="8" t="s">
        <v>102</v>
      </c>
      <c r="B144" s="8" t="s">
        <v>25</v>
      </c>
      <c r="C144" s="8" t="s">
        <v>218</v>
      </c>
      <c r="D144" s="10">
        <v>2.0</v>
      </c>
      <c r="E144" s="8" t="s">
        <v>396</v>
      </c>
      <c r="F144" s="10">
        <v>0.0</v>
      </c>
      <c r="G144" s="8" t="s">
        <v>370</v>
      </c>
      <c r="H144" s="8" t="s">
        <v>371</v>
      </c>
    </row>
    <row r="145">
      <c r="A145" s="8" t="s">
        <v>102</v>
      </c>
      <c r="B145" s="8" t="s">
        <v>25</v>
      </c>
      <c r="C145" s="8" t="s">
        <v>218</v>
      </c>
      <c r="D145" s="10">
        <v>3.0</v>
      </c>
      <c r="E145" s="8" t="s">
        <v>397</v>
      </c>
      <c r="F145" s="10">
        <v>0.0</v>
      </c>
      <c r="G145" s="8" t="s">
        <v>370</v>
      </c>
      <c r="H145" s="8" t="s">
        <v>371</v>
      </c>
    </row>
    <row r="146">
      <c r="A146" s="8" t="s">
        <v>102</v>
      </c>
      <c r="B146" s="8" t="s">
        <v>25</v>
      </c>
      <c r="C146" s="8" t="s">
        <v>218</v>
      </c>
      <c r="D146" s="10">
        <v>4.0</v>
      </c>
      <c r="E146" s="8" t="s">
        <v>395</v>
      </c>
      <c r="F146" s="10">
        <v>3000.0</v>
      </c>
      <c r="G146" s="8" t="s">
        <v>370</v>
      </c>
      <c r="H146" s="8" t="s">
        <v>371</v>
      </c>
    </row>
    <row r="147">
      <c r="A147" s="8" t="s">
        <v>102</v>
      </c>
      <c r="B147" s="8" t="s">
        <v>25</v>
      </c>
      <c r="C147" s="8" t="s">
        <v>218</v>
      </c>
      <c r="D147" s="10">
        <v>5.0</v>
      </c>
      <c r="E147" s="8" t="s">
        <v>397</v>
      </c>
      <c r="F147" s="10">
        <v>0.0</v>
      </c>
      <c r="G147" s="8" t="s">
        <v>370</v>
      </c>
      <c r="H147" s="8" t="s">
        <v>371</v>
      </c>
    </row>
    <row r="148">
      <c r="A148" s="8" t="s">
        <v>102</v>
      </c>
      <c r="B148" s="8" t="s">
        <v>25</v>
      </c>
      <c r="C148" s="8" t="s">
        <v>218</v>
      </c>
      <c r="D148" s="10">
        <v>6.0</v>
      </c>
      <c r="E148" s="8" t="s">
        <v>395</v>
      </c>
      <c r="F148" s="10">
        <v>3500.0</v>
      </c>
      <c r="G148" s="8" t="s">
        <v>370</v>
      </c>
      <c r="H148" s="8" t="s">
        <v>371</v>
      </c>
    </row>
    <row r="149">
      <c r="A149" s="8" t="s">
        <v>104</v>
      </c>
      <c r="B149" s="8" t="s">
        <v>25</v>
      </c>
      <c r="C149" s="8" t="s">
        <v>127</v>
      </c>
      <c r="D149" s="10">
        <v>1.0</v>
      </c>
      <c r="E149" s="8" t="s">
        <v>397</v>
      </c>
      <c r="F149" s="10">
        <v>0.0</v>
      </c>
      <c r="G149" s="8" t="s">
        <v>370</v>
      </c>
      <c r="H149" s="8" t="s">
        <v>371</v>
      </c>
    </row>
    <row r="150">
      <c r="A150" s="8" t="s">
        <v>104</v>
      </c>
      <c r="B150" s="8" t="s">
        <v>25</v>
      </c>
      <c r="C150" s="8" t="s">
        <v>127</v>
      </c>
      <c r="D150" s="10">
        <v>2.0</v>
      </c>
      <c r="E150" s="8" t="s">
        <v>396</v>
      </c>
      <c r="F150" s="10">
        <v>0.0</v>
      </c>
      <c r="G150" s="8" t="s">
        <v>370</v>
      </c>
      <c r="H150" s="8" t="s">
        <v>371</v>
      </c>
    </row>
    <row r="151">
      <c r="A151" s="8" t="s">
        <v>104</v>
      </c>
      <c r="B151" s="8" t="s">
        <v>25</v>
      </c>
      <c r="C151" s="8" t="s">
        <v>127</v>
      </c>
      <c r="D151" s="10">
        <v>3.0</v>
      </c>
      <c r="E151" s="8" t="s">
        <v>396</v>
      </c>
      <c r="F151" s="10">
        <v>3500.0</v>
      </c>
      <c r="G151" s="8" t="s">
        <v>370</v>
      </c>
      <c r="H151" s="8" t="s">
        <v>371</v>
      </c>
    </row>
    <row r="152">
      <c r="A152" s="8" t="s">
        <v>104</v>
      </c>
      <c r="B152" s="8" t="s">
        <v>25</v>
      </c>
      <c r="C152" s="8" t="s">
        <v>127</v>
      </c>
      <c r="D152" s="10">
        <v>4.0</v>
      </c>
      <c r="E152" s="8" t="s">
        <v>396</v>
      </c>
      <c r="F152" s="10">
        <v>3000.0</v>
      </c>
      <c r="G152" s="8" t="s">
        <v>370</v>
      </c>
      <c r="H152" s="8" t="s">
        <v>371</v>
      </c>
    </row>
    <row r="153">
      <c r="A153" s="8" t="s">
        <v>104</v>
      </c>
      <c r="B153" s="8" t="s">
        <v>25</v>
      </c>
      <c r="C153" s="8" t="s">
        <v>127</v>
      </c>
      <c r="D153" s="10">
        <v>5.0</v>
      </c>
      <c r="E153" s="8" t="s">
        <v>397</v>
      </c>
      <c r="F153" s="10">
        <v>0.0</v>
      </c>
      <c r="G153" s="8" t="s">
        <v>370</v>
      </c>
      <c r="H153" s="8" t="s">
        <v>371</v>
      </c>
    </row>
    <row r="154">
      <c r="A154" s="8" t="s">
        <v>104</v>
      </c>
      <c r="B154" s="8" t="s">
        <v>25</v>
      </c>
      <c r="C154" s="8" t="s">
        <v>127</v>
      </c>
      <c r="D154" s="10">
        <v>6.0</v>
      </c>
      <c r="E154" s="8" t="s">
        <v>395</v>
      </c>
      <c r="F154" s="10">
        <v>3500.0</v>
      </c>
      <c r="G154" s="8" t="s">
        <v>370</v>
      </c>
      <c r="H154" s="8" t="s">
        <v>371</v>
      </c>
    </row>
    <row r="155">
      <c r="A155" s="8" t="s">
        <v>104</v>
      </c>
      <c r="B155" s="8" t="s">
        <v>25</v>
      </c>
      <c r="C155" s="8" t="s">
        <v>127</v>
      </c>
      <c r="D155" s="10">
        <v>7.0</v>
      </c>
      <c r="E155" s="8" t="s">
        <v>397</v>
      </c>
      <c r="F155" s="10">
        <v>0.0</v>
      </c>
      <c r="G155" s="8" t="s">
        <v>370</v>
      </c>
      <c r="H155" s="8" t="s">
        <v>371</v>
      </c>
    </row>
    <row r="156">
      <c r="A156" s="8" t="s">
        <v>104</v>
      </c>
      <c r="B156" s="8" t="s">
        <v>25</v>
      </c>
      <c r="C156" s="8" t="s">
        <v>127</v>
      </c>
      <c r="D156" s="10">
        <v>8.0</v>
      </c>
      <c r="E156" s="8" t="s">
        <v>395</v>
      </c>
      <c r="F156" s="10">
        <v>0.0</v>
      </c>
      <c r="G156" s="8" t="s">
        <v>370</v>
      </c>
      <c r="H156" s="8" t="s">
        <v>371</v>
      </c>
    </row>
    <row r="157">
      <c r="A157" s="8" t="s">
        <v>106</v>
      </c>
      <c r="B157" s="8" t="s">
        <v>25</v>
      </c>
      <c r="C157" s="8" t="s">
        <v>69</v>
      </c>
      <c r="D157" s="10">
        <v>1.0</v>
      </c>
      <c r="E157" s="8" t="s">
        <v>397</v>
      </c>
      <c r="F157" s="10">
        <v>0.0</v>
      </c>
      <c r="G157" s="8" t="s">
        <v>370</v>
      </c>
      <c r="H157" s="8" t="s">
        <v>371</v>
      </c>
    </row>
    <row r="158">
      <c r="A158" s="8" t="s">
        <v>106</v>
      </c>
      <c r="B158" s="8" t="s">
        <v>25</v>
      </c>
      <c r="C158" s="8" t="s">
        <v>69</v>
      </c>
      <c r="D158" s="10">
        <v>2.0</v>
      </c>
      <c r="E158" s="8" t="s">
        <v>396</v>
      </c>
      <c r="F158" s="10">
        <v>3000.0</v>
      </c>
      <c r="G158" s="8" t="s">
        <v>370</v>
      </c>
      <c r="H158" s="8" t="s">
        <v>371</v>
      </c>
    </row>
    <row r="159">
      <c r="A159" s="8" t="s">
        <v>106</v>
      </c>
      <c r="B159" s="8" t="s">
        <v>25</v>
      </c>
      <c r="C159" s="8" t="s">
        <v>69</v>
      </c>
      <c r="D159" s="10">
        <v>3.0</v>
      </c>
      <c r="E159" s="8" t="s">
        <v>396</v>
      </c>
      <c r="F159" s="10">
        <v>0.0</v>
      </c>
      <c r="G159" s="8" t="s">
        <v>370</v>
      </c>
      <c r="H159" s="8" t="s">
        <v>371</v>
      </c>
    </row>
    <row r="160">
      <c r="A160" s="8" t="s">
        <v>106</v>
      </c>
      <c r="B160" s="8" t="s">
        <v>25</v>
      </c>
      <c r="C160" s="8" t="s">
        <v>69</v>
      </c>
      <c r="D160" s="10">
        <v>4.0</v>
      </c>
      <c r="E160" s="8" t="s">
        <v>396</v>
      </c>
      <c r="F160" s="10">
        <v>3500.0</v>
      </c>
      <c r="G160" s="8" t="s">
        <v>370</v>
      </c>
      <c r="H160" s="8" t="s">
        <v>371</v>
      </c>
    </row>
    <row r="161">
      <c r="A161" s="8" t="s">
        <v>106</v>
      </c>
      <c r="B161" s="8" t="s">
        <v>25</v>
      </c>
      <c r="C161" s="8" t="s">
        <v>69</v>
      </c>
      <c r="D161" s="10">
        <v>5.0</v>
      </c>
      <c r="E161" s="8" t="s">
        <v>397</v>
      </c>
      <c r="F161" s="10">
        <v>0.0</v>
      </c>
      <c r="G161" s="8" t="s">
        <v>370</v>
      </c>
      <c r="H161" s="8" t="s">
        <v>371</v>
      </c>
    </row>
    <row r="162">
      <c r="A162" s="8" t="s">
        <v>106</v>
      </c>
      <c r="B162" s="8" t="s">
        <v>25</v>
      </c>
      <c r="C162" s="8" t="s">
        <v>69</v>
      </c>
      <c r="D162" s="10">
        <v>6.0</v>
      </c>
      <c r="E162" s="8" t="s">
        <v>398</v>
      </c>
      <c r="F162" s="10">
        <v>0.0</v>
      </c>
      <c r="G162" s="8" t="s">
        <v>370</v>
      </c>
      <c r="H162" s="8" t="s">
        <v>371</v>
      </c>
    </row>
    <row r="163">
      <c r="A163" s="8" t="s">
        <v>249</v>
      </c>
      <c r="B163" s="8" t="s">
        <v>25</v>
      </c>
      <c r="C163" s="8" t="s">
        <v>53</v>
      </c>
      <c r="D163" s="10">
        <v>1.0</v>
      </c>
      <c r="E163" s="8" t="s">
        <v>397</v>
      </c>
      <c r="F163" s="10">
        <v>0.0</v>
      </c>
      <c r="G163" s="8" t="s">
        <v>370</v>
      </c>
      <c r="H163" s="8" t="s">
        <v>371</v>
      </c>
    </row>
    <row r="164">
      <c r="A164" s="8" t="s">
        <v>249</v>
      </c>
      <c r="B164" s="8" t="s">
        <v>25</v>
      </c>
      <c r="C164" s="8" t="s">
        <v>53</v>
      </c>
      <c r="D164" s="10">
        <v>2.0</v>
      </c>
      <c r="E164" s="8" t="s">
        <v>396</v>
      </c>
      <c r="F164" s="10">
        <v>3000.0</v>
      </c>
      <c r="G164" s="8" t="s">
        <v>370</v>
      </c>
      <c r="H164" s="8" t="s">
        <v>371</v>
      </c>
    </row>
    <row r="165">
      <c r="A165" s="8" t="s">
        <v>249</v>
      </c>
      <c r="B165" s="8" t="s">
        <v>25</v>
      </c>
      <c r="C165" s="8" t="s">
        <v>53</v>
      </c>
      <c r="D165" s="10">
        <v>3.0</v>
      </c>
      <c r="E165" s="8" t="s">
        <v>396</v>
      </c>
      <c r="F165" s="10">
        <v>0.0</v>
      </c>
      <c r="G165" s="8" t="s">
        <v>370</v>
      </c>
      <c r="H165" s="8" t="s">
        <v>371</v>
      </c>
    </row>
    <row r="166">
      <c r="A166" s="8" t="s">
        <v>249</v>
      </c>
      <c r="B166" s="8" t="s">
        <v>25</v>
      </c>
      <c r="C166" s="8" t="s">
        <v>53</v>
      </c>
      <c r="D166" s="10">
        <v>4.0</v>
      </c>
      <c r="E166" s="8" t="s">
        <v>396</v>
      </c>
      <c r="F166" s="10">
        <v>3500.0</v>
      </c>
      <c r="G166" s="8" t="s">
        <v>370</v>
      </c>
      <c r="H166" s="8" t="s">
        <v>371</v>
      </c>
    </row>
    <row r="167">
      <c r="A167" s="8" t="s">
        <v>249</v>
      </c>
      <c r="B167" s="8" t="s">
        <v>25</v>
      </c>
      <c r="C167" s="8" t="s">
        <v>53</v>
      </c>
      <c r="D167" s="10">
        <v>5.0</v>
      </c>
      <c r="E167" s="8" t="s">
        <v>397</v>
      </c>
      <c r="F167" s="10">
        <v>0.0</v>
      </c>
      <c r="G167" s="8" t="s">
        <v>370</v>
      </c>
      <c r="H167" s="8" t="s">
        <v>371</v>
      </c>
    </row>
    <row r="168">
      <c r="A168" s="8" t="s">
        <v>249</v>
      </c>
      <c r="B168" s="8" t="s">
        <v>25</v>
      </c>
      <c r="C168" s="8" t="s">
        <v>53</v>
      </c>
      <c r="D168" s="10">
        <v>6.0</v>
      </c>
      <c r="E168" s="8" t="s">
        <v>395</v>
      </c>
      <c r="F168" s="10">
        <v>0.0</v>
      </c>
      <c r="G168" s="8" t="s">
        <v>370</v>
      </c>
      <c r="H168" s="8" t="s">
        <v>371</v>
      </c>
    </row>
    <row r="169">
      <c r="A169" s="8" t="s">
        <v>249</v>
      </c>
      <c r="B169" s="8" t="s">
        <v>25</v>
      </c>
      <c r="C169" s="8" t="s">
        <v>53</v>
      </c>
      <c r="D169" s="10">
        <v>7.0</v>
      </c>
      <c r="E169" s="8" t="s">
        <v>395</v>
      </c>
      <c r="F169" s="10">
        <v>3000.0</v>
      </c>
      <c r="G169" s="8" t="s">
        <v>370</v>
      </c>
      <c r="H169" s="8" t="s">
        <v>371</v>
      </c>
    </row>
    <row r="170">
      <c r="A170" s="8" t="s">
        <v>111</v>
      </c>
      <c r="B170" s="8" t="s">
        <v>25</v>
      </c>
      <c r="C170" s="8" t="s">
        <v>53</v>
      </c>
      <c r="D170" s="10">
        <v>1.0</v>
      </c>
      <c r="E170" s="8" t="s">
        <v>397</v>
      </c>
      <c r="F170" s="10">
        <v>0.0</v>
      </c>
      <c r="G170" s="8" t="s">
        <v>370</v>
      </c>
      <c r="H170" s="8" t="s">
        <v>371</v>
      </c>
    </row>
    <row r="171">
      <c r="A171" s="8" t="s">
        <v>111</v>
      </c>
      <c r="B171" s="8" t="s">
        <v>25</v>
      </c>
      <c r="C171" s="8" t="s">
        <v>53</v>
      </c>
      <c r="D171" s="10">
        <v>2.0</v>
      </c>
      <c r="E171" s="8" t="s">
        <v>396</v>
      </c>
      <c r="F171" s="10">
        <v>3500.0</v>
      </c>
      <c r="G171" s="8" t="s">
        <v>370</v>
      </c>
      <c r="H171" s="8" t="s">
        <v>371</v>
      </c>
    </row>
    <row r="172">
      <c r="A172" s="8" t="s">
        <v>111</v>
      </c>
      <c r="B172" s="8" t="s">
        <v>25</v>
      </c>
      <c r="C172" s="8" t="s">
        <v>53</v>
      </c>
      <c r="D172" s="10">
        <v>3.0</v>
      </c>
      <c r="E172" s="8" t="s">
        <v>396</v>
      </c>
      <c r="F172" s="10">
        <v>0.0</v>
      </c>
      <c r="G172" s="8" t="s">
        <v>370</v>
      </c>
      <c r="H172" s="8" t="s">
        <v>371</v>
      </c>
    </row>
    <row r="173">
      <c r="A173" s="8" t="s">
        <v>111</v>
      </c>
      <c r="B173" s="8" t="s">
        <v>25</v>
      </c>
      <c r="C173" s="8" t="s">
        <v>53</v>
      </c>
      <c r="D173" s="10">
        <v>4.0</v>
      </c>
      <c r="E173" s="8" t="s">
        <v>396</v>
      </c>
      <c r="F173" s="10">
        <v>0.0</v>
      </c>
      <c r="G173" s="8" t="s">
        <v>370</v>
      </c>
      <c r="H173" s="8" t="s">
        <v>371</v>
      </c>
    </row>
    <row r="174">
      <c r="A174" s="8" t="s">
        <v>111</v>
      </c>
      <c r="B174" s="8" t="s">
        <v>25</v>
      </c>
      <c r="C174" s="8" t="s">
        <v>53</v>
      </c>
      <c r="D174" s="10">
        <v>5.0</v>
      </c>
      <c r="E174" s="8" t="s">
        <v>397</v>
      </c>
      <c r="F174" s="10">
        <v>0.0</v>
      </c>
      <c r="G174" s="8" t="s">
        <v>370</v>
      </c>
      <c r="H174" s="8" t="s">
        <v>371</v>
      </c>
    </row>
    <row r="175">
      <c r="A175" s="8" t="s">
        <v>111</v>
      </c>
      <c r="B175" s="8" t="s">
        <v>25</v>
      </c>
      <c r="C175" s="8" t="s">
        <v>53</v>
      </c>
      <c r="D175" s="10">
        <v>6.0</v>
      </c>
      <c r="E175" s="8" t="s">
        <v>395</v>
      </c>
      <c r="F175" s="10">
        <v>0.0</v>
      </c>
      <c r="G175" s="8" t="s">
        <v>370</v>
      </c>
      <c r="H175" s="8" t="s">
        <v>371</v>
      </c>
    </row>
    <row r="176">
      <c r="A176" s="8" t="s">
        <v>251</v>
      </c>
      <c r="B176" s="8" t="s">
        <v>25</v>
      </c>
      <c r="C176" s="8" t="s">
        <v>53</v>
      </c>
      <c r="D176" s="10">
        <v>1.0</v>
      </c>
      <c r="E176" s="8" t="s">
        <v>397</v>
      </c>
      <c r="F176" s="10">
        <v>3000.0</v>
      </c>
      <c r="G176" s="8" t="s">
        <v>370</v>
      </c>
      <c r="H176" s="8" t="s">
        <v>371</v>
      </c>
    </row>
    <row r="177">
      <c r="A177" s="8" t="s">
        <v>251</v>
      </c>
      <c r="B177" s="8" t="s">
        <v>25</v>
      </c>
      <c r="C177" s="8" t="s">
        <v>53</v>
      </c>
      <c r="D177" s="10">
        <v>2.0</v>
      </c>
      <c r="E177" s="8" t="s">
        <v>396</v>
      </c>
      <c r="F177" s="10">
        <v>3000.0</v>
      </c>
      <c r="G177" s="8" t="s">
        <v>370</v>
      </c>
      <c r="H177" s="8" t="s">
        <v>371</v>
      </c>
    </row>
    <row r="178">
      <c r="A178" s="8" t="s">
        <v>251</v>
      </c>
      <c r="B178" s="8" t="s">
        <v>25</v>
      </c>
      <c r="C178" s="8" t="s">
        <v>53</v>
      </c>
      <c r="D178" s="10">
        <v>3.0</v>
      </c>
      <c r="E178" s="8" t="s">
        <v>396</v>
      </c>
      <c r="F178" s="10">
        <v>3000.0</v>
      </c>
      <c r="G178" s="8" t="s">
        <v>370</v>
      </c>
      <c r="H178" s="8" t="s">
        <v>371</v>
      </c>
    </row>
    <row r="179">
      <c r="A179" s="8" t="s">
        <v>251</v>
      </c>
      <c r="B179" s="8" t="s">
        <v>25</v>
      </c>
      <c r="C179" s="8" t="s">
        <v>53</v>
      </c>
      <c r="D179" s="10">
        <v>4.0</v>
      </c>
      <c r="E179" s="8" t="s">
        <v>395</v>
      </c>
      <c r="F179" s="10">
        <v>0.0</v>
      </c>
      <c r="G179" s="8" t="s">
        <v>370</v>
      </c>
      <c r="H179" s="8" t="s">
        <v>371</v>
      </c>
    </row>
    <row r="180">
      <c r="A180" s="8" t="s">
        <v>251</v>
      </c>
      <c r="B180" s="8" t="s">
        <v>25</v>
      </c>
      <c r="C180" s="8" t="s">
        <v>53</v>
      </c>
      <c r="D180" s="10">
        <v>5.0</v>
      </c>
      <c r="E180" s="8" t="s">
        <v>397</v>
      </c>
      <c r="F180" s="10">
        <v>3500.0</v>
      </c>
      <c r="G180" s="8" t="s">
        <v>370</v>
      </c>
      <c r="H180" s="8" t="s">
        <v>371</v>
      </c>
    </row>
    <row r="181">
      <c r="A181" s="8" t="s">
        <v>251</v>
      </c>
      <c r="B181" s="8" t="s">
        <v>25</v>
      </c>
      <c r="C181" s="8" t="s">
        <v>53</v>
      </c>
      <c r="D181" s="10">
        <v>6.0</v>
      </c>
      <c r="E181" s="8" t="s">
        <v>395</v>
      </c>
      <c r="F181" s="10">
        <v>0.0</v>
      </c>
      <c r="G181" s="8" t="s">
        <v>370</v>
      </c>
      <c r="H181" s="8" t="s">
        <v>371</v>
      </c>
    </row>
    <row r="182">
      <c r="A182" s="8" t="s">
        <v>251</v>
      </c>
      <c r="B182" s="8" t="s">
        <v>25</v>
      </c>
      <c r="C182" s="8" t="s">
        <v>53</v>
      </c>
      <c r="D182" s="10">
        <v>7.0</v>
      </c>
      <c r="E182" s="8" t="s">
        <v>395</v>
      </c>
      <c r="F182" s="10">
        <v>0.0</v>
      </c>
      <c r="G182" s="8" t="s">
        <v>370</v>
      </c>
      <c r="H182" s="8" t="s">
        <v>371</v>
      </c>
    </row>
    <row r="183">
      <c r="A183" s="8" t="s">
        <v>117</v>
      </c>
      <c r="B183" s="8" t="s">
        <v>25</v>
      </c>
      <c r="C183" s="8" t="s">
        <v>53</v>
      </c>
      <c r="D183" s="10">
        <v>1.0</v>
      </c>
      <c r="E183" s="8" t="s">
        <v>397</v>
      </c>
      <c r="F183" s="10">
        <v>0.0</v>
      </c>
      <c r="G183" s="8" t="s">
        <v>370</v>
      </c>
      <c r="H183" s="8" t="s">
        <v>371</v>
      </c>
    </row>
    <row r="184">
      <c r="A184" s="8" t="s">
        <v>117</v>
      </c>
      <c r="B184" s="8" t="s">
        <v>25</v>
      </c>
      <c r="C184" s="8" t="s">
        <v>53</v>
      </c>
      <c r="D184" s="10">
        <v>2.0</v>
      </c>
      <c r="E184" s="8" t="s">
        <v>396</v>
      </c>
      <c r="F184" s="10">
        <v>0.0</v>
      </c>
      <c r="G184" s="8" t="s">
        <v>370</v>
      </c>
      <c r="H184" s="8" t="s">
        <v>371</v>
      </c>
    </row>
    <row r="185">
      <c r="A185" s="8" t="s">
        <v>117</v>
      </c>
      <c r="B185" s="8" t="s">
        <v>25</v>
      </c>
      <c r="C185" s="8" t="s">
        <v>53</v>
      </c>
      <c r="D185" s="10">
        <v>3.0</v>
      </c>
      <c r="E185" s="8" t="s">
        <v>396</v>
      </c>
      <c r="F185" s="10">
        <v>3000.0</v>
      </c>
      <c r="G185" s="8" t="s">
        <v>370</v>
      </c>
      <c r="H185" s="8" t="s">
        <v>371</v>
      </c>
    </row>
    <row r="186">
      <c r="A186" s="8" t="s">
        <v>117</v>
      </c>
      <c r="B186" s="8" t="s">
        <v>25</v>
      </c>
      <c r="C186" s="8" t="s">
        <v>53</v>
      </c>
      <c r="D186" s="10">
        <v>4.0</v>
      </c>
      <c r="E186" s="8" t="s">
        <v>395</v>
      </c>
      <c r="F186" s="10">
        <v>3000.0</v>
      </c>
      <c r="G186" s="8" t="s">
        <v>370</v>
      </c>
      <c r="H186" s="8" t="s">
        <v>371</v>
      </c>
    </row>
    <row r="187">
      <c r="A187" s="8" t="s">
        <v>117</v>
      </c>
      <c r="B187" s="8" t="s">
        <v>25</v>
      </c>
      <c r="C187" s="8" t="s">
        <v>53</v>
      </c>
      <c r="D187" s="10">
        <v>5.0</v>
      </c>
      <c r="E187" s="8" t="s">
        <v>397</v>
      </c>
      <c r="F187" s="10">
        <v>3000.0</v>
      </c>
      <c r="G187" s="8" t="s">
        <v>370</v>
      </c>
      <c r="H187" s="8" t="s">
        <v>371</v>
      </c>
    </row>
    <row r="188">
      <c r="A188" s="8" t="s">
        <v>117</v>
      </c>
      <c r="B188" s="8" t="s">
        <v>25</v>
      </c>
      <c r="C188" s="8" t="s">
        <v>53</v>
      </c>
      <c r="D188" s="10">
        <v>6.0</v>
      </c>
      <c r="E188" s="8" t="s">
        <v>395</v>
      </c>
      <c r="F188" s="10">
        <v>0.0</v>
      </c>
      <c r="G188" s="8" t="s">
        <v>370</v>
      </c>
      <c r="H188" s="8" t="s">
        <v>371</v>
      </c>
    </row>
    <row r="189">
      <c r="A189" s="8" t="s">
        <v>119</v>
      </c>
      <c r="B189" s="8" t="s">
        <v>25</v>
      </c>
      <c r="C189" s="8" t="s">
        <v>189</v>
      </c>
      <c r="D189" s="10">
        <v>1.0</v>
      </c>
      <c r="E189" s="8" t="s">
        <v>397</v>
      </c>
      <c r="F189" s="10">
        <v>8000.0</v>
      </c>
      <c r="G189" s="8" t="s">
        <v>370</v>
      </c>
      <c r="H189" s="8" t="s">
        <v>371</v>
      </c>
    </row>
    <row r="190">
      <c r="A190" s="8" t="s">
        <v>119</v>
      </c>
      <c r="B190" s="8" t="s">
        <v>25</v>
      </c>
      <c r="C190" s="8" t="s">
        <v>189</v>
      </c>
      <c r="D190" s="10">
        <v>2.0</v>
      </c>
      <c r="E190" s="8" t="s">
        <v>396</v>
      </c>
      <c r="F190" s="10">
        <v>0.0</v>
      </c>
      <c r="G190" s="8" t="s">
        <v>370</v>
      </c>
      <c r="H190" s="8" t="s">
        <v>371</v>
      </c>
    </row>
    <row r="191">
      <c r="A191" s="8" t="s">
        <v>119</v>
      </c>
      <c r="B191" s="8" t="s">
        <v>25</v>
      </c>
      <c r="C191" s="8" t="s">
        <v>189</v>
      </c>
      <c r="D191" s="10">
        <v>3.0</v>
      </c>
      <c r="E191" s="8" t="s">
        <v>397</v>
      </c>
      <c r="F191" s="10">
        <v>0.0</v>
      </c>
      <c r="G191" s="8" t="s">
        <v>370</v>
      </c>
      <c r="H191" s="8" t="s">
        <v>371</v>
      </c>
    </row>
    <row r="192">
      <c r="A192" s="8" t="s">
        <v>119</v>
      </c>
      <c r="B192" s="8" t="s">
        <v>25</v>
      </c>
      <c r="C192" s="8" t="s">
        <v>189</v>
      </c>
      <c r="D192" s="10">
        <v>4.0</v>
      </c>
      <c r="E192" s="8" t="s">
        <v>396</v>
      </c>
      <c r="F192" s="10">
        <v>3000.0</v>
      </c>
      <c r="G192" s="8" t="s">
        <v>370</v>
      </c>
      <c r="H192" s="8" t="s">
        <v>371</v>
      </c>
    </row>
    <row r="193">
      <c r="A193" s="8" t="s">
        <v>119</v>
      </c>
      <c r="B193" s="8" t="s">
        <v>25</v>
      </c>
      <c r="C193" s="8" t="s">
        <v>189</v>
      </c>
      <c r="D193" s="10">
        <v>5.0</v>
      </c>
      <c r="E193" s="8" t="s">
        <v>397</v>
      </c>
      <c r="F193" s="10">
        <v>3000.0</v>
      </c>
      <c r="G193" s="8" t="s">
        <v>370</v>
      </c>
      <c r="H193" s="8" t="s">
        <v>371</v>
      </c>
    </row>
    <row r="194">
      <c r="A194" s="8" t="s">
        <v>119</v>
      </c>
      <c r="B194" s="8" t="s">
        <v>25</v>
      </c>
      <c r="C194" s="8" t="s">
        <v>189</v>
      </c>
      <c r="D194" s="10">
        <v>6.0</v>
      </c>
      <c r="E194" s="8" t="s">
        <v>395</v>
      </c>
      <c r="F194" s="10">
        <v>3000.0</v>
      </c>
      <c r="G194" s="8" t="s">
        <v>370</v>
      </c>
      <c r="H194" s="8" t="s">
        <v>371</v>
      </c>
    </row>
    <row r="195">
      <c r="A195" s="8" t="s">
        <v>23</v>
      </c>
      <c r="B195" s="8" t="s">
        <v>25</v>
      </c>
      <c r="C195" s="8" t="s">
        <v>53</v>
      </c>
      <c r="D195" s="10">
        <v>1.0</v>
      </c>
      <c r="E195" s="8" t="s">
        <v>395</v>
      </c>
      <c r="F195" s="10">
        <v>0.0</v>
      </c>
      <c r="G195" s="8" t="s">
        <v>370</v>
      </c>
      <c r="H195" s="8" t="s">
        <v>371</v>
      </c>
    </row>
    <row r="196">
      <c r="A196" s="8" t="s">
        <v>23</v>
      </c>
      <c r="B196" s="8" t="s">
        <v>25</v>
      </c>
      <c r="C196" s="8" t="s">
        <v>53</v>
      </c>
      <c r="D196" s="10">
        <v>2.0</v>
      </c>
      <c r="E196" s="8" t="s">
        <v>396</v>
      </c>
      <c r="F196" s="10">
        <v>3500.0</v>
      </c>
      <c r="G196" s="8" t="s">
        <v>370</v>
      </c>
      <c r="H196" s="8" t="s">
        <v>371</v>
      </c>
    </row>
    <row r="197">
      <c r="A197" s="8" t="s">
        <v>23</v>
      </c>
      <c r="B197" s="8" t="s">
        <v>25</v>
      </c>
      <c r="C197" s="8" t="s">
        <v>53</v>
      </c>
      <c r="D197" s="10">
        <v>3.0</v>
      </c>
      <c r="E197" s="8" t="s">
        <v>397</v>
      </c>
      <c r="F197" s="10">
        <v>0.0</v>
      </c>
      <c r="G197" s="8" t="s">
        <v>370</v>
      </c>
      <c r="H197" s="8" t="s">
        <v>371</v>
      </c>
    </row>
    <row r="198">
      <c r="A198" s="8" t="s">
        <v>23</v>
      </c>
      <c r="B198" s="8" t="s">
        <v>25</v>
      </c>
      <c r="C198" s="8" t="s">
        <v>53</v>
      </c>
      <c r="D198" s="10">
        <v>4.0</v>
      </c>
      <c r="E198" s="8" t="s">
        <v>395</v>
      </c>
      <c r="F198" s="10">
        <v>0.0</v>
      </c>
      <c r="G198" s="8" t="s">
        <v>370</v>
      </c>
      <c r="H198" s="8" t="s">
        <v>371</v>
      </c>
    </row>
    <row r="199">
      <c r="A199" s="8" t="s">
        <v>121</v>
      </c>
      <c r="B199" s="8" t="s">
        <v>25</v>
      </c>
      <c r="C199" s="8" t="s">
        <v>52</v>
      </c>
      <c r="D199" s="10">
        <v>1.0</v>
      </c>
      <c r="E199" s="8" t="s">
        <v>397</v>
      </c>
      <c r="F199" s="10">
        <v>0.0</v>
      </c>
      <c r="G199" s="8" t="s">
        <v>370</v>
      </c>
      <c r="H199" s="8" t="s">
        <v>371</v>
      </c>
    </row>
    <row r="200">
      <c r="A200" s="8" t="s">
        <v>121</v>
      </c>
      <c r="B200" s="8" t="s">
        <v>25</v>
      </c>
      <c r="C200" s="8" t="s">
        <v>52</v>
      </c>
      <c r="D200" s="10">
        <v>2.0</v>
      </c>
      <c r="E200" s="8" t="s">
        <v>396</v>
      </c>
      <c r="F200" s="10">
        <v>3000.0</v>
      </c>
      <c r="G200" s="8" t="s">
        <v>370</v>
      </c>
      <c r="H200" s="8" t="s">
        <v>371</v>
      </c>
    </row>
    <row r="201">
      <c r="A201" s="8" t="s">
        <v>121</v>
      </c>
      <c r="B201" s="8" t="s">
        <v>25</v>
      </c>
      <c r="C201" s="8" t="s">
        <v>52</v>
      </c>
      <c r="D201" s="10">
        <v>3.0</v>
      </c>
      <c r="E201" s="8" t="s">
        <v>397</v>
      </c>
      <c r="F201" s="10">
        <v>3000.0</v>
      </c>
      <c r="G201" s="8" t="s">
        <v>370</v>
      </c>
      <c r="H201" s="8" t="s">
        <v>371</v>
      </c>
    </row>
    <row r="202">
      <c r="A202" s="8" t="s">
        <v>121</v>
      </c>
      <c r="B202" s="8" t="s">
        <v>25</v>
      </c>
      <c r="C202" s="8" t="s">
        <v>52</v>
      </c>
      <c r="D202" s="10">
        <v>4.0</v>
      </c>
      <c r="E202" s="8" t="s">
        <v>396</v>
      </c>
      <c r="F202" s="10">
        <v>3000.0</v>
      </c>
      <c r="G202" s="8" t="s">
        <v>370</v>
      </c>
      <c r="H202" s="8" t="s">
        <v>371</v>
      </c>
    </row>
    <row r="203">
      <c r="A203" s="8" t="s">
        <v>121</v>
      </c>
      <c r="B203" s="8" t="s">
        <v>25</v>
      </c>
      <c r="C203" s="8" t="s">
        <v>52</v>
      </c>
      <c r="D203" s="10">
        <v>5.0</v>
      </c>
      <c r="E203" s="8" t="s">
        <v>397</v>
      </c>
      <c r="F203" s="10">
        <v>0.0</v>
      </c>
      <c r="G203" s="8" t="s">
        <v>370</v>
      </c>
      <c r="H203" s="8" t="s">
        <v>371</v>
      </c>
    </row>
    <row r="204">
      <c r="A204" s="8" t="s">
        <v>121</v>
      </c>
      <c r="B204" s="8" t="s">
        <v>25</v>
      </c>
      <c r="C204" s="8" t="s">
        <v>52</v>
      </c>
      <c r="D204" s="10">
        <v>6.0</v>
      </c>
      <c r="E204" s="8" t="s">
        <v>395</v>
      </c>
      <c r="F204" s="10">
        <v>3500.0</v>
      </c>
      <c r="G204" s="8" t="s">
        <v>370</v>
      </c>
      <c r="H204" s="8" t="s">
        <v>371</v>
      </c>
    </row>
    <row r="205">
      <c r="A205" s="8" t="s">
        <v>121</v>
      </c>
      <c r="B205" s="8" t="s">
        <v>25</v>
      </c>
      <c r="C205" s="8" t="s">
        <v>52</v>
      </c>
      <c r="D205" s="10">
        <v>7.0</v>
      </c>
      <c r="E205" s="8" t="s">
        <v>397</v>
      </c>
      <c r="F205" s="10">
        <v>0.0</v>
      </c>
      <c r="G205" s="8" t="s">
        <v>370</v>
      </c>
      <c r="H205" s="8" t="s">
        <v>371</v>
      </c>
    </row>
    <row r="206">
      <c r="A206" s="8" t="s">
        <v>121</v>
      </c>
      <c r="B206" s="8" t="s">
        <v>25</v>
      </c>
      <c r="C206" s="8" t="s">
        <v>52</v>
      </c>
      <c r="D206" s="10">
        <v>8.0</v>
      </c>
      <c r="E206" s="8" t="s">
        <v>395</v>
      </c>
      <c r="F206" s="10">
        <v>0.0</v>
      </c>
      <c r="G206" s="8" t="s">
        <v>370</v>
      </c>
      <c r="H206" s="8" t="s">
        <v>371</v>
      </c>
    </row>
    <row r="207">
      <c r="A207" s="8" t="s">
        <v>124</v>
      </c>
      <c r="B207" s="8" t="s">
        <v>25</v>
      </c>
      <c r="C207" s="8" t="s">
        <v>115</v>
      </c>
      <c r="D207" s="10">
        <v>1.0</v>
      </c>
      <c r="E207" s="8" t="s">
        <v>397</v>
      </c>
      <c r="F207" s="10">
        <v>3000.0</v>
      </c>
      <c r="G207" s="8" t="s">
        <v>370</v>
      </c>
      <c r="H207" s="8" t="s">
        <v>371</v>
      </c>
    </row>
    <row r="208">
      <c r="A208" s="8" t="s">
        <v>124</v>
      </c>
      <c r="B208" s="8" t="s">
        <v>25</v>
      </c>
      <c r="C208" s="8" t="s">
        <v>115</v>
      </c>
      <c r="D208" s="10">
        <v>2.0</v>
      </c>
      <c r="E208" s="8" t="s">
        <v>396</v>
      </c>
      <c r="F208" s="10">
        <v>3000.0</v>
      </c>
      <c r="G208" s="8" t="s">
        <v>370</v>
      </c>
      <c r="H208" s="8" t="s">
        <v>371</v>
      </c>
    </row>
    <row r="209">
      <c r="A209" s="8" t="s">
        <v>124</v>
      </c>
      <c r="B209" s="8" t="s">
        <v>25</v>
      </c>
      <c r="C209" s="8" t="s">
        <v>115</v>
      </c>
      <c r="D209" s="10">
        <v>3.0</v>
      </c>
      <c r="E209" s="8" t="s">
        <v>397</v>
      </c>
      <c r="F209" s="10">
        <v>3500.0</v>
      </c>
      <c r="G209" s="8" t="s">
        <v>370</v>
      </c>
      <c r="H209" s="8" t="s">
        <v>371</v>
      </c>
    </row>
    <row r="210">
      <c r="A210" s="8" t="s">
        <v>124</v>
      </c>
      <c r="B210" s="8" t="s">
        <v>25</v>
      </c>
      <c r="C210" s="8" t="s">
        <v>115</v>
      </c>
      <c r="D210" s="10">
        <v>4.0</v>
      </c>
      <c r="E210" s="8" t="s">
        <v>396</v>
      </c>
      <c r="F210" s="10">
        <v>0.0</v>
      </c>
      <c r="G210" s="8" t="s">
        <v>370</v>
      </c>
      <c r="H210" s="8" t="s">
        <v>371</v>
      </c>
    </row>
    <row r="211">
      <c r="A211" s="8" t="s">
        <v>124</v>
      </c>
      <c r="B211" s="8" t="s">
        <v>25</v>
      </c>
      <c r="C211" s="8" t="s">
        <v>115</v>
      </c>
      <c r="D211" s="10">
        <v>5.0</v>
      </c>
      <c r="E211" s="8" t="s">
        <v>397</v>
      </c>
      <c r="F211" s="10">
        <v>0.0</v>
      </c>
      <c r="G211" s="8" t="s">
        <v>370</v>
      </c>
      <c r="H211" s="8" t="s">
        <v>371</v>
      </c>
    </row>
    <row r="212">
      <c r="A212" s="8" t="s">
        <v>124</v>
      </c>
      <c r="B212" s="8" t="s">
        <v>25</v>
      </c>
      <c r="C212" s="8" t="s">
        <v>115</v>
      </c>
      <c r="D212" s="10">
        <v>6.0</v>
      </c>
      <c r="E212" s="8" t="s">
        <v>395</v>
      </c>
      <c r="F212" s="10">
        <v>0.0</v>
      </c>
      <c r="G212" s="8" t="s">
        <v>370</v>
      </c>
      <c r="H212" s="8" t="s">
        <v>371</v>
      </c>
    </row>
    <row r="213">
      <c r="A213" s="8" t="s">
        <v>124</v>
      </c>
      <c r="B213" s="8" t="s">
        <v>25</v>
      </c>
      <c r="C213" s="8" t="s">
        <v>115</v>
      </c>
      <c r="D213" s="10">
        <v>7.0</v>
      </c>
      <c r="E213" s="8" t="s">
        <v>397</v>
      </c>
      <c r="F213" s="10">
        <v>0.0</v>
      </c>
      <c r="G213" s="8" t="s">
        <v>370</v>
      </c>
      <c r="H213" s="8" t="s">
        <v>371</v>
      </c>
    </row>
    <row r="214">
      <c r="A214" s="8" t="s">
        <v>124</v>
      </c>
      <c r="B214" s="8" t="s">
        <v>25</v>
      </c>
      <c r="C214" s="8" t="s">
        <v>115</v>
      </c>
      <c r="D214" s="10">
        <v>8.0</v>
      </c>
      <c r="E214" s="8" t="s">
        <v>395</v>
      </c>
      <c r="F214" s="10">
        <v>0.0</v>
      </c>
      <c r="G214" s="8" t="s">
        <v>370</v>
      </c>
      <c r="H214" s="8" t="s">
        <v>371</v>
      </c>
    </row>
    <row r="215">
      <c r="A215" s="8" t="s">
        <v>126</v>
      </c>
      <c r="B215" s="8" t="s">
        <v>25</v>
      </c>
      <c r="C215" s="8" t="s">
        <v>52</v>
      </c>
      <c r="D215" s="10">
        <v>1.0</v>
      </c>
      <c r="E215" s="8" t="s">
        <v>397</v>
      </c>
      <c r="F215" s="10">
        <v>3000.0</v>
      </c>
      <c r="G215" s="8" t="s">
        <v>370</v>
      </c>
      <c r="H215" s="8" t="s">
        <v>371</v>
      </c>
    </row>
    <row r="216">
      <c r="A216" s="8" t="s">
        <v>126</v>
      </c>
      <c r="B216" s="8" t="s">
        <v>25</v>
      </c>
      <c r="C216" s="8" t="s">
        <v>52</v>
      </c>
      <c r="D216" s="10">
        <v>2.0</v>
      </c>
      <c r="E216" s="8" t="s">
        <v>396</v>
      </c>
      <c r="F216" s="10">
        <v>3000.0</v>
      </c>
      <c r="G216" s="8" t="s">
        <v>370</v>
      </c>
      <c r="H216" s="8" t="s">
        <v>371</v>
      </c>
    </row>
    <row r="217">
      <c r="A217" s="8" t="s">
        <v>126</v>
      </c>
      <c r="B217" s="8" t="s">
        <v>25</v>
      </c>
      <c r="C217" s="8" t="s">
        <v>52</v>
      </c>
      <c r="D217" s="10">
        <v>3.0</v>
      </c>
      <c r="E217" s="8" t="s">
        <v>397</v>
      </c>
      <c r="F217" s="10">
        <v>3500.0</v>
      </c>
      <c r="G217" s="8" t="s">
        <v>370</v>
      </c>
      <c r="H217" s="8" t="s">
        <v>371</v>
      </c>
    </row>
    <row r="218">
      <c r="A218" s="8" t="s">
        <v>126</v>
      </c>
      <c r="B218" s="8" t="s">
        <v>25</v>
      </c>
      <c r="C218" s="8" t="s">
        <v>52</v>
      </c>
      <c r="D218" s="10">
        <v>4.0</v>
      </c>
      <c r="E218" s="8" t="s">
        <v>396</v>
      </c>
      <c r="F218" s="10">
        <v>0.0</v>
      </c>
      <c r="G218" s="8" t="s">
        <v>370</v>
      </c>
      <c r="H218" s="8" t="s">
        <v>371</v>
      </c>
    </row>
    <row r="219">
      <c r="A219" s="8" t="s">
        <v>126</v>
      </c>
      <c r="B219" s="8" t="s">
        <v>25</v>
      </c>
      <c r="C219" s="8" t="s">
        <v>52</v>
      </c>
      <c r="D219" s="10">
        <v>5.0</v>
      </c>
      <c r="E219" s="8" t="s">
        <v>397</v>
      </c>
      <c r="F219" s="10">
        <v>0.0</v>
      </c>
      <c r="G219" s="8" t="s">
        <v>370</v>
      </c>
      <c r="H219" s="8" t="s">
        <v>371</v>
      </c>
    </row>
    <row r="220">
      <c r="A220" s="8" t="s">
        <v>126</v>
      </c>
      <c r="B220" s="8" t="s">
        <v>25</v>
      </c>
      <c r="C220" s="8" t="s">
        <v>52</v>
      </c>
      <c r="D220" s="10">
        <v>6.0</v>
      </c>
      <c r="E220" s="8" t="s">
        <v>395</v>
      </c>
      <c r="F220" s="10">
        <v>0.0</v>
      </c>
      <c r="G220" s="8" t="s">
        <v>370</v>
      </c>
      <c r="H220" s="8" t="s">
        <v>371</v>
      </c>
    </row>
    <row r="221">
      <c r="A221" s="8" t="s">
        <v>130</v>
      </c>
      <c r="B221" s="8" t="s">
        <v>25</v>
      </c>
      <c r="C221" s="8" t="s">
        <v>52</v>
      </c>
      <c r="D221" s="10">
        <v>1.0</v>
      </c>
      <c r="E221" s="8" t="s">
        <v>397</v>
      </c>
      <c r="F221" s="10">
        <v>0.0</v>
      </c>
      <c r="G221" s="8" t="s">
        <v>370</v>
      </c>
      <c r="H221" s="8" t="s">
        <v>371</v>
      </c>
    </row>
    <row r="222">
      <c r="A222" s="8" t="s">
        <v>130</v>
      </c>
      <c r="B222" s="8" t="s">
        <v>25</v>
      </c>
      <c r="C222" s="8" t="s">
        <v>52</v>
      </c>
      <c r="D222" s="10">
        <v>2.0</v>
      </c>
      <c r="E222" s="8" t="s">
        <v>396</v>
      </c>
      <c r="F222" s="10">
        <v>3000.0</v>
      </c>
      <c r="G222" s="8" t="s">
        <v>370</v>
      </c>
      <c r="H222" s="8" t="s">
        <v>371</v>
      </c>
    </row>
    <row r="223">
      <c r="A223" s="8" t="s">
        <v>130</v>
      </c>
      <c r="B223" s="8" t="s">
        <v>25</v>
      </c>
      <c r="C223" s="8" t="s">
        <v>52</v>
      </c>
      <c r="D223" s="10">
        <v>3.0</v>
      </c>
      <c r="E223" s="8" t="s">
        <v>397</v>
      </c>
      <c r="F223" s="10">
        <v>0.0</v>
      </c>
      <c r="G223" s="8" t="s">
        <v>370</v>
      </c>
      <c r="H223" s="8" t="s">
        <v>371</v>
      </c>
    </row>
    <row r="224">
      <c r="A224" s="8" t="s">
        <v>130</v>
      </c>
      <c r="B224" s="8" t="s">
        <v>25</v>
      </c>
      <c r="C224" s="8" t="s">
        <v>52</v>
      </c>
      <c r="D224" s="10">
        <v>4.0</v>
      </c>
      <c r="E224" s="8" t="s">
        <v>396</v>
      </c>
      <c r="F224" s="10">
        <v>5940.8</v>
      </c>
      <c r="G224" s="8" t="s">
        <v>370</v>
      </c>
      <c r="H224" s="8" t="s">
        <v>371</v>
      </c>
    </row>
    <row r="225">
      <c r="A225" s="8" t="s">
        <v>130</v>
      </c>
      <c r="B225" s="8" t="s">
        <v>25</v>
      </c>
      <c r="C225" s="8" t="s">
        <v>52</v>
      </c>
      <c r="D225" s="10">
        <v>5.0</v>
      </c>
      <c r="E225" s="8" t="s">
        <v>397</v>
      </c>
      <c r="F225" s="10">
        <v>0.0</v>
      </c>
      <c r="G225" s="8" t="s">
        <v>370</v>
      </c>
      <c r="H225" s="8" t="s">
        <v>371</v>
      </c>
    </row>
    <row r="226">
      <c r="A226" s="8" t="s">
        <v>130</v>
      </c>
      <c r="B226" s="8" t="s">
        <v>25</v>
      </c>
      <c r="C226" s="8" t="s">
        <v>52</v>
      </c>
      <c r="D226" s="10">
        <v>6.0</v>
      </c>
      <c r="E226" s="8" t="s">
        <v>395</v>
      </c>
      <c r="F226" s="10">
        <v>3500.0</v>
      </c>
      <c r="G226" s="8" t="s">
        <v>370</v>
      </c>
      <c r="H226" s="8" t="s">
        <v>371</v>
      </c>
    </row>
    <row r="227">
      <c r="A227" s="8" t="s">
        <v>130</v>
      </c>
      <c r="B227" s="8" t="s">
        <v>25</v>
      </c>
      <c r="C227" s="8" t="s">
        <v>52</v>
      </c>
      <c r="D227" s="10">
        <v>7.0</v>
      </c>
      <c r="E227" s="8" t="s">
        <v>397</v>
      </c>
      <c r="F227" s="10">
        <v>0.0</v>
      </c>
      <c r="G227" s="8" t="s">
        <v>370</v>
      </c>
      <c r="H227" s="8" t="s">
        <v>371</v>
      </c>
    </row>
    <row r="228">
      <c r="A228" s="8" t="s">
        <v>130</v>
      </c>
      <c r="B228" s="8" t="s">
        <v>25</v>
      </c>
      <c r="C228" s="8" t="s">
        <v>52</v>
      </c>
      <c r="D228" s="10">
        <v>8.0</v>
      </c>
      <c r="E228" s="8" t="s">
        <v>395</v>
      </c>
      <c r="F228" s="10">
        <v>3500.0</v>
      </c>
      <c r="G228" s="8" t="s">
        <v>370</v>
      </c>
      <c r="H228" s="8" t="s">
        <v>371</v>
      </c>
    </row>
    <row r="229">
      <c r="A229" s="8" t="s">
        <v>132</v>
      </c>
      <c r="B229" s="8" t="s">
        <v>25</v>
      </c>
      <c r="C229" s="8" t="s">
        <v>115</v>
      </c>
      <c r="D229" s="10">
        <v>1.0</v>
      </c>
      <c r="E229" s="8" t="s">
        <v>397</v>
      </c>
      <c r="F229" s="10">
        <v>3000.0</v>
      </c>
      <c r="G229" s="8" t="s">
        <v>370</v>
      </c>
      <c r="H229" s="8" t="s">
        <v>371</v>
      </c>
    </row>
    <row r="230">
      <c r="A230" s="8" t="s">
        <v>132</v>
      </c>
      <c r="B230" s="8" t="s">
        <v>25</v>
      </c>
      <c r="C230" s="8" t="s">
        <v>115</v>
      </c>
      <c r="D230" s="10">
        <v>2.0</v>
      </c>
      <c r="E230" s="8" t="s">
        <v>396</v>
      </c>
      <c r="F230" s="10">
        <v>0.0</v>
      </c>
      <c r="G230" s="8" t="s">
        <v>370</v>
      </c>
      <c r="H230" s="8" t="s">
        <v>371</v>
      </c>
    </row>
    <row r="231">
      <c r="A231" s="8" t="s">
        <v>132</v>
      </c>
      <c r="B231" s="8" t="s">
        <v>25</v>
      </c>
      <c r="C231" s="8" t="s">
        <v>115</v>
      </c>
      <c r="D231" s="10">
        <v>3.0</v>
      </c>
      <c r="E231" s="8" t="s">
        <v>397</v>
      </c>
      <c r="F231" s="10">
        <v>3500.0</v>
      </c>
      <c r="G231" s="8" t="s">
        <v>370</v>
      </c>
      <c r="H231" s="8" t="s">
        <v>371</v>
      </c>
    </row>
    <row r="232">
      <c r="A232" s="8" t="s">
        <v>132</v>
      </c>
      <c r="B232" s="8" t="s">
        <v>25</v>
      </c>
      <c r="C232" s="8" t="s">
        <v>115</v>
      </c>
      <c r="D232" s="10">
        <v>4.0</v>
      </c>
      <c r="E232" s="8" t="s">
        <v>396</v>
      </c>
      <c r="F232" s="10">
        <v>0.0</v>
      </c>
      <c r="G232" s="8" t="s">
        <v>370</v>
      </c>
      <c r="H232" s="8" t="s">
        <v>371</v>
      </c>
    </row>
    <row r="233">
      <c r="A233" s="8" t="s">
        <v>132</v>
      </c>
      <c r="B233" s="8" t="s">
        <v>25</v>
      </c>
      <c r="C233" s="8" t="s">
        <v>115</v>
      </c>
      <c r="D233" s="10">
        <v>5.0</v>
      </c>
      <c r="E233" s="8" t="s">
        <v>397</v>
      </c>
      <c r="F233" s="10">
        <v>0.0</v>
      </c>
      <c r="G233" s="8" t="s">
        <v>370</v>
      </c>
      <c r="H233" s="8" t="s">
        <v>371</v>
      </c>
    </row>
    <row r="234">
      <c r="A234" s="8" t="s">
        <v>132</v>
      </c>
      <c r="B234" s="8" t="s">
        <v>25</v>
      </c>
      <c r="C234" s="8" t="s">
        <v>115</v>
      </c>
      <c r="D234" s="10">
        <v>6.0</v>
      </c>
      <c r="E234" s="8" t="s">
        <v>395</v>
      </c>
      <c r="F234" s="10">
        <v>3000.0</v>
      </c>
      <c r="G234" s="8" t="s">
        <v>370</v>
      </c>
      <c r="H234" s="8" t="s">
        <v>371</v>
      </c>
    </row>
    <row r="235">
      <c r="A235" s="8" t="s">
        <v>132</v>
      </c>
      <c r="B235" s="8" t="s">
        <v>25</v>
      </c>
      <c r="C235" s="8" t="s">
        <v>115</v>
      </c>
      <c r="D235" s="10">
        <v>7.0</v>
      </c>
      <c r="E235" s="8" t="s">
        <v>397</v>
      </c>
      <c r="F235" s="10">
        <v>0.0</v>
      </c>
      <c r="G235" s="8" t="s">
        <v>370</v>
      </c>
      <c r="H235" s="8" t="s">
        <v>371</v>
      </c>
    </row>
    <row r="236">
      <c r="A236" s="8" t="s">
        <v>132</v>
      </c>
      <c r="B236" s="8" t="s">
        <v>25</v>
      </c>
      <c r="C236" s="8" t="s">
        <v>115</v>
      </c>
      <c r="D236" s="10">
        <v>8.0</v>
      </c>
      <c r="E236" s="8" t="s">
        <v>395</v>
      </c>
      <c r="F236" s="10">
        <v>5940.8</v>
      </c>
      <c r="G236" s="8" t="s">
        <v>370</v>
      </c>
      <c r="H236" s="8" t="s">
        <v>371</v>
      </c>
    </row>
    <row r="237">
      <c r="A237" s="8" t="s">
        <v>134</v>
      </c>
      <c r="B237" s="8" t="s">
        <v>25</v>
      </c>
      <c r="C237" s="8" t="s">
        <v>53</v>
      </c>
      <c r="D237" s="10">
        <v>1.0</v>
      </c>
      <c r="E237" s="8" t="s">
        <v>397</v>
      </c>
      <c r="F237" s="10">
        <v>0.0</v>
      </c>
      <c r="G237" s="8" t="s">
        <v>370</v>
      </c>
      <c r="H237" s="8" t="s">
        <v>371</v>
      </c>
    </row>
    <row r="238">
      <c r="A238" s="8" t="s">
        <v>134</v>
      </c>
      <c r="B238" s="8" t="s">
        <v>25</v>
      </c>
      <c r="C238" s="8" t="s">
        <v>53</v>
      </c>
      <c r="D238" s="10">
        <v>2.0</v>
      </c>
      <c r="E238" s="8" t="s">
        <v>396</v>
      </c>
      <c r="F238" s="10">
        <v>3500.0</v>
      </c>
      <c r="G238" s="8" t="s">
        <v>370</v>
      </c>
      <c r="H238" s="8" t="s">
        <v>371</v>
      </c>
    </row>
    <row r="239">
      <c r="A239" s="8" t="s">
        <v>134</v>
      </c>
      <c r="B239" s="8" t="s">
        <v>25</v>
      </c>
      <c r="C239" s="8" t="s">
        <v>53</v>
      </c>
      <c r="D239" s="10">
        <v>3.0</v>
      </c>
      <c r="E239" s="8" t="s">
        <v>397</v>
      </c>
      <c r="F239" s="10">
        <v>0.0</v>
      </c>
      <c r="G239" s="8" t="s">
        <v>370</v>
      </c>
      <c r="H239" s="8" t="s">
        <v>371</v>
      </c>
    </row>
    <row r="240">
      <c r="A240" s="8" t="s">
        <v>134</v>
      </c>
      <c r="B240" s="8" t="s">
        <v>25</v>
      </c>
      <c r="C240" s="8" t="s">
        <v>53</v>
      </c>
      <c r="D240" s="10">
        <v>4.0</v>
      </c>
      <c r="E240" s="8" t="s">
        <v>396</v>
      </c>
      <c r="F240" s="10">
        <v>0.0</v>
      </c>
      <c r="G240" s="8" t="s">
        <v>370</v>
      </c>
      <c r="H240" s="8" t="s">
        <v>371</v>
      </c>
    </row>
    <row r="241">
      <c r="A241" s="8" t="s">
        <v>134</v>
      </c>
      <c r="B241" s="8" t="s">
        <v>25</v>
      </c>
      <c r="C241" s="8" t="s">
        <v>53</v>
      </c>
      <c r="D241" s="10">
        <v>5.0</v>
      </c>
      <c r="E241" s="8" t="s">
        <v>397</v>
      </c>
      <c r="F241" s="10">
        <v>0.0</v>
      </c>
      <c r="G241" s="8" t="s">
        <v>370</v>
      </c>
      <c r="H241" s="8" t="s">
        <v>371</v>
      </c>
    </row>
    <row r="242">
      <c r="A242" s="8" t="s">
        <v>134</v>
      </c>
      <c r="B242" s="8" t="s">
        <v>25</v>
      </c>
      <c r="C242" s="8" t="s">
        <v>53</v>
      </c>
      <c r="D242" s="10">
        <v>6.0</v>
      </c>
      <c r="E242" s="8" t="s">
        <v>395</v>
      </c>
      <c r="F242" s="10">
        <v>0.0</v>
      </c>
      <c r="G242" s="8" t="s">
        <v>370</v>
      </c>
      <c r="H242" s="8" t="s">
        <v>371</v>
      </c>
    </row>
    <row r="243">
      <c r="A243" s="8" t="s">
        <v>134</v>
      </c>
      <c r="B243" s="8" t="s">
        <v>25</v>
      </c>
      <c r="C243" s="8" t="s">
        <v>53</v>
      </c>
      <c r="D243" s="10">
        <v>7.0</v>
      </c>
      <c r="E243" s="8" t="s">
        <v>395</v>
      </c>
      <c r="F243" s="10">
        <v>3000.0</v>
      </c>
      <c r="G243" s="8" t="s">
        <v>370</v>
      </c>
      <c r="H243" s="8" t="s">
        <v>371</v>
      </c>
    </row>
    <row r="244">
      <c r="A244" s="8" t="s">
        <v>136</v>
      </c>
      <c r="B244" s="8" t="s">
        <v>25</v>
      </c>
      <c r="C244" s="8" t="s">
        <v>189</v>
      </c>
      <c r="D244" s="10">
        <v>1.0</v>
      </c>
      <c r="E244" s="8" t="s">
        <v>395</v>
      </c>
      <c r="F244" s="10">
        <v>0.0</v>
      </c>
      <c r="G244" s="8" t="s">
        <v>370</v>
      </c>
      <c r="H244" s="8" t="s">
        <v>371</v>
      </c>
    </row>
    <row r="245">
      <c r="A245" s="8" t="s">
        <v>136</v>
      </c>
      <c r="B245" s="8" t="s">
        <v>25</v>
      </c>
      <c r="C245" s="8" t="s">
        <v>189</v>
      </c>
      <c r="D245" s="10">
        <v>2.0</v>
      </c>
      <c r="E245" s="8" t="s">
        <v>397</v>
      </c>
      <c r="F245" s="10">
        <v>5940.8</v>
      </c>
      <c r="G245" s="8" t="s">
        <v>370</v>
      </c>
      <c r="H245" s="8" t="s">
        <v>371</v>
      </c>
    </row>
    <row r="246">
      <c r="A246" s="8" t="s">
        <v>136</v>
      </c>
      <c r="B246" s="8" t="s">
        <v>25</v>
      </c>
      <c r="C246" s="8" t="s">
        <v>189</v>
      </c>
      <c r="D246" s="10">
        <v>3.0</v>
      </c>
      <c r="E246" s="8" t="s">
        <v>395</v>
      </c>
      <c r="F246" s="10">
        <v>0.0</v>
      </c>
      <c r="G246" s="8" t="s">
        <v>370</v>
      </c>
      <c r="H246" s="8" t="s">
        <v>371</v>
      </c>
    </row>
    <row r="247">
      <c r="A247" s="8" t="s">
        <v>136</v>
      </c>
      <c r="B247" s="8" t="s">
        <v>25</v>
      </c>
      <c r="C247" s="8" t="s">
        <v>189</v>
      </c>
      <c r="D247" s="10">
        <v>4.0</v>
      </c>
      <c r="E247" s="8" t="s">
        <v>395</v>
      </c>
      <c r="F247" s="10">
        <v>3500.0</v>
      </c>
      <c r="G247" s="8" t="s">
        <v>370</v>
      </c>
      <c r="H247" s="8" t="s">
        <v>371</v>
      </c>
    </row>
    <row r="248">
      <c r="A248" s="8" t="s">
        <v>138</v>
      </c>
      <c r="B248" s="8" t="s">
        <v>25</v>
      </c>
      <c r="C248" s="8" t="s">
        <v>52</v>
      </c>
      <c r="D248" s="10">
        <v>1.0</v>
      </c>
      <c r="E248" s="8" t="s">
        <v>395</v>
      </c>
      <c r="F248" s="10">
        <v>0.0</v>
      </c>
      <c r="G248" s="8" t="s">
        <v>370</v>
      </c>
      <c r="H248" s="8" t="s">
        <v>371</v>
      </c>
    </row>
    <row r="249">
      <c r="A249" s="8" t="s">
        <v>138</v>
      </c>
      <c r="B249" s="8" t="s">
        <v>25</v>
      </c>
      <c r="C249" s="8" t="s">
        <v>52</v>
      </c>
      <c r="D249" s="10">
        <v>2.0</v>
      </c>
      <c r="E249" s="8" t="s">
        <v>397</v>
      </c>
      <c r="F249" s="10">
        <v>0.0</v>
      </c>
      <c r="G249" s="8" t="s">
        <v>370</v>
      </c>
      <c r="H249" s="8" t="s">
        <v>371</v>
      </c>
    </row>
    <row r="250">
      <c r="A250" s="8" t="s">
        <v>138</v>
      </c>
      <c r="B250" s="8" t="s">
        <v>25</v>
      </c>
      <c r="C250" s="8" t="s">
        <v>52</v>
      </c>
      <c r="D250" s="10">
        <v>3.0</v>
      </c>
      <c r="E250" s="8" t="s">
        <v>395</v>
      </c>
      <c r="F250" s="10">
        <v>0.0</v>
      </c>
      <c r="G250" s="8" t="s">
        <v>370</v>
      </c>
      <c r="H250" s="8" t="s">
        <v>371</v>
      </c>
    </row>
    <row r="251">
      <c r="A251" s="8" t="s">
        <v>138</v>
      </c>
      <c r="B251" s="8" t="s">
        <v>25</v>
      </c>
      <c r="C251" s="8" t="s">
        <v>52</v>
      </c>
      <c r="D251" s="10">
        <v>4.0</v>
      </c>
      <c r="E251" s="8" t="s">
        <v>395</v>
      </c>
      <c r="F251" s="10">
        <v>0.0</v>
      </c>
      <c r="G251" s="8" t="s">
        <v>370</v>
      </c>
      <c r="H251" s="8" t="s">
        <v>371</v>
      </c>
    </row>
    <row r="252">
      <c r="A252" s="8" t="s">
        <v>138</v>
      </c>
      <c r="B252" s="8" t="s">
        <v>25</v>
      </c>
      <c r="C252" s="8" t="s">
        <v>52</v>
      </c>
      <c r="D252" s="10">
        <v>5.0</v>
      </c>
      <c r="E252" s="8" t="s">
        <v>397</v>
      </c>
      <c r="F252" s="10">
        <v>3000.0</v>
      </c>
      <c r="G252" s="8" t="s">
        <v>370</v>
      </c>
      <c r="H252" s="8" t="s">
        <v>371</v>
      </c>
    </row>
    <row r="253">
      <c r="A253" s="8" t="s">
        <v>138</v>
      </c>
      <c r="B253" s="8" t="s">
        <v>25</v>
      </c>
      <c r="C253" s="8" t="s">
        <v>52</v>
      </c>
      <c r="D253" s="10">
        <v>6.0</v>
      </c>
      <c r="E253" s="8" t="s">
        <v>395</v>
      </c>
      <c r="F253" s="10">
        <v>0.0</v>
      </c>
      <c r="G253" s="8" t="s">
        <v>370</v>
      </c>
      <c r="H253" s="8" t="s">
        <v>371</v>
      </c>
    </row>
    <row r="254">
      <c r="A254" s="8" t="s">
        <v>140</v>
      </c>
      <c r="B254" s="8" t="s">
        <v>25</v>
      </c>
      <c r="C254" s="8" t="s">
        <v>115</v>
      </c>
      <c r="D254" s="10">
        <v>1.0</v>
      </c>
      <c r="E254" s="8" t="s">
        <v>395</v>
      </c>
      <c r="F254" s="10">
        <v>5940.8</v>
      </c>
      <c r="G254" s="8" t="s">
        <v>370</v>
      </c>
      <c r="H254" s="8" t="s">
        <v>371</v>
      </c>
    </row>
    <row r="255">
      <c r="A255" s="8" t="s">
        <v>140</v>
      </c>
      <c r="B255" s="8" t="s">
        <v>25</v>
      </c>
      <c r="C255" s="8" t="s">
        <v>115</v>
      </c>
      <c r="D255" s="10">
        <v>2.0</v>
      </c>
      <c r="E255" s="8" t="s">
        <v>397</v>
      </c>
      <c r="F255" s="10">
        <v>0.0</v>
      </c>
      <c r="G255" s="8" t="s">
        <v>370</v>
      </c>
      <c r="H255" s="8" t="s">
        <v>371</v>
      </c>
    </row>
    <row r="256">
      <c r="A256" s="8" t="s">
        <v>140</v>
      </c>
      <c r="B256" s="8" t="s">
        <v>25</v>
      </c>
      <c r="C256" s="8" t="s">
        <v>115</v>
      </c>
      <c r="D256" s="10">
        <v>3.0</v>
      </c>
      <c r="E256" s="8" t="s">
        <v>395</v>
      </c>
      <c r="F256" s="10">
        <v>3500.0</v>
      </c>
      <c r="G256" s="8" t="s">
        <v>370</v>
      </c>
      <c r="H256" s="8" t="s">
        <v>371</v>
      </c>
    </row>
    <row r="257">
      <c r="A257" s="8" t="s">
        <v>140</v>
      </c>
      <c r="B257" s="8" t="s">
        <v>25</v>
      </c>
      <c r="C257" s="8" t="s">
        <v>115</v>
      </c>
      <c r="D257" s="10">
        <v>4.0</v>
      </c>
      <c r="E257" s="8" t="s">
        <v>395</v>
      </c>
      <c r="F257" s="10">
        <v>0.0</v>
      </c>
      <c r="G257" s="8" t="s">
        <v>370</v>
      </c>
      <c r="H257" s="8" t="s">
        <v>371</v>
      </c>
    </row>
    <row r="258">
      <c r="A258" s="8" t="s">
        <v>140</v>
      </c>
      <c r="B258" s="8" t="s">
        <v>25</v>
      </c>
      <c r="C258" s="8" t="s">
        <v>115</v>
      </c>
      <c r="D258" s="10">
        <v>5.0</v>
      </c>
      <c r="E258" s="8" t="s">
        <v>397</v>
      </c>
      <c r="F258" s="10">
        <v>0.0</v>
      </c>
      <c r="G258" s="8" t="s">
        <v>370</v>
      </c>
      <c r="H258" s="8" t="s">
        <v>371</v>
      </c>
    </row>
    <row r="259">
      <c r="A259" s="8" t="s">
        <v>140</v>
      </c>
      <c r="B259" s="8" t="s">
        <v>25</v>
      </c>
      <c r="C259" s="8" t="s">
        <v>115</v>
      </c>
      <c r="D259" s="10">
        <v>6.0</v>
      </c>
      <c r="E259" s="8" t="s">
        <v>395</v>
      </c>
      <c r="F259" s="10">
        <v>3000.0</v>
      </c>
      <c r="G259" s="8" t="s">
        <v>370</v>
      </c>
      <c r="H259" s="8" t="s">
        <v>371</v>
      </c>
    </row>
    <row r="260">
      <c r="A260" s="8" t="s">
        <v>142</v>
      </c>
      <c r="B260" s="8" t="s">
        <v>25</v>
      </c>
      <c r="C260" s="8" t="s">
        <v>52</v>
      </c>
      <c r="D260" s="10">
        <v>1.0</v>
      </c>
      <c r="E260" s="8" t="s">
        <v>395</v>
      </c>
      <c r="F260" s="10">
        <v>0.0</v>
      </c>
      <c r="G260" s="8" t="s">
        <v>370</v>
      </c>
      <c r="H260" s="8" t="s">
        <v>371</v>
      </c>
    </row>
    <row r="261">
      <c r="A261" s="8" t="s">
        <v>142</v>
      </c>
      <c r="B261" s="8" t="s">
        <v>25</v>
      </c>
      <c r="C261" s="8" t="s">
        <v>52</v>
      </c>
      <c r="D261" s="10">
        <v>2.0</v>
      </c>
      <c r="E261" s="8" t="s">
        <v>397</v>
      </c>
      <c r="F261" s="10">
        <v>5940.8</v>
      </c>
      <c r="G261" s="8" t="s">
        <v>370</v>
      </c>
      <c r="H261" s="8" t="s">
        <v>371</v>
      </c>
    </row>
    <row r="262">
      <c r="A262" s="8" t="s">
        <v>142</v>
      </c>
      <c r="B262" s="8" t="s">
        <v>25</v>
      </c>
      <c r="C262" s="8" t="s">
        <v>52</v>
      </c>
      <c r="D262" s="10">
        <v>3.0</v>
      </c>
      <c r="E262" s="8" t="s">
        <v>395</v>
      </c>
      <c r="F262" s="10">
        <v>0.0</v>
      </c>
      <c r="G262" s="8" t="s">
        <v>370</v>
      </c>
      <c r="H262" s="8" t="s">
        <v>371</v>
      </c>
    </row>
    <row r="263">
      <c r="A263" s="8" t="s">
        <v>142</v>
      </c>
      <c r="B263" s="8" t="s">
        <v>25</v>
      </c>
      <c r="C263" s="8" t="s">
        <v>52</v>
      </c>
      <c r="D263" s="10">
        <v>4.0</v>
      </c>
      <c r="E263" s="8" t="s">
        <v>395</v>
      </c>
      <c r="F263" s="10">
        <v>3500.0</v>
      </c>
      <c r="G263" s="8" t="s">
        <v>370</v>
      </c>
      <c r="H263" s="8" t="s">
        <v>371</v>
      </c>
    </row>
    <row r="264">
      <c r="A264" s="8" t="s">
        <v>229</v>
      </c>
      <c r="B264" s="8" t="s">
        <v>25</v>
      </c>
      <c r="C264" s="8" t="s">
        <v>53</v>
      </c>
      <c r="D264" s="10">
        <v>1.0</v>
      </c>
      <c r="E264" s="8" t="s">
        <v>395</v>
      </c>
      <c r="F264" s="10">
        <v>0.0</v>
      </c>
      <c r="G264" s="8" t="s">
        <v>370</v>
      </c>
      <c r="H264" s="8" t="s">
        <v>371</v>
      </c>
    </row>
    <row r="265">
      <c r="A265" s="8" t="s">
        <v>229</v>
      </c>
      <c r="B265" s="8" t="s">
        <v>25</v>
      </c>
      <c r="C265" s="8" t="s">
        <v>53</v>
      </c>
      <c r="D265" s="10">
        <v>2.0</v>
      </c>
      <c r="E265" s="8" t="s">
        <v>395</v>
      </c>
      <c r="F265" s="10">
        <v>0.0</v>
      </c>
      <c r="G265" s="8" t="s">
        <v>370</v>
      </c>
      <c r="H265" s="8" t="s">
        <v>371</v>
      </c>
    </row>
    <row r="266">
      <c r="A266" s="8" t="s">
        <v>229</v>
      </c>
      <c r="B266" s="8" t="s">
        <v>25</v>
      </c>
      <c r="C266" s="8" t="s">
        <v>53</v>
      </c>
      <c r="D266" s="10">
        <v>3.0</v>
      </c>
      <c r="E266" s="8" t="s">
        <v>397</v>
      </c>
      <c r="F266" s="10">
        <v>0.0</v>
      </c>
      <c r="G266" s="8" t="s">
        <v>370</v>
      </c>
      <c r="H266" s="8" t="s">
        <v>371</v>
      </c>
    </row>
    <row r="267">
      <c r="A267" s="8" t="s">
        <v>229</v>
      </c>
      <c r="B267" s="8" t="s">
        <v>25</v>
      </c>
      <c r="C267" s="8" t="s">
        <v>53</v>
      </c>
      <c r="D267" s="10">
        <v>4.0</v>
      </c>
      <c r="E267" s="8" t="s">
        <v>395</v>
      </c>
      <c r="F267" s="10">
        <v>0.0</v>
      </c>
      <c r="G267" s="8" t="s">
        <v>370</v>
      </c>
      <c r="H267" s="8" t="s">
        <v>371</v>
      </c>
    </row>
    <row r="268">
      <c r="A268" s="8" t="s">
        <v>229</v>
      </c>
      <c r="B268" s="8" t="s">
        <v>25</v>
      </c>
      <c r="C268" s="8" t="s">
        <v>53</v>
      </c>
      <c r="D268" s="10">
        <v>5.0</v>
      </c>
      <c r="E268" s="8" t="s">
        <v>395</v>
      </c>
      <c r="F268" s="10">
        <v>3000.0</v>
      </c>
      <c r="G268" s="8" t="s">
        <v>370</v>
      </c>
      <c r="H268" s="8" t="s">
        <v>371</v>
      </c>
    </row>
    <row r="269">
      <c r="A269" s="8" t="s">
        <v>144</v>
      </c>
      <c r="B269" s="8" t="s">
        <v>25</v>
      </c>
      <c r="C269" s="8" t="s">
        <v>52</v>
      </c>
      <c r="D269" s="10">
        <v>1.0</v>
      </c>
      <c r="E269" s="8" t="s">
        <v>395</v>
      </c>
      <c r="F269" s="10">
        <v>0.0</v>
      </c>
      <c r="G269" s="8" t="s">
        <v>370</v>
      </c>
      <c r="H269" s="8" t="s">
        <v>371</v>
      </c>
    </row>
    <row r="270">
      <c r="A270" s="8" t="s">
        <v>144</v>
      </c>
      <c r="B270" s="8" t="s">
        <v>25</v>
      </c>
      <c r="C270" s="8" t="s">
        <v>52</v>
      </c>
      <c r="D270" s="10">
        <v>2.0</v>
      </c>
      <c r="E270" s="8" t="s">
        <v>397</v>
      </c>
      <c r="F270" s="10">
        <v>5940.8</v>
      </c>
      <c r="G270" s="8" t="s">
        <v>370</v>
      </c>
      <c r="H270" s="8" t="s">
        <v>371</v>
      </c>
    </row>
    <row r="271">
      <c r="A271" s="8" t="s">
        <v>144</v>
      </c>
      <c r="B271" s="8" t="s">
        <v>25</v>
      </c>
      <c r="C271" s="8" t="s">
        <v>52</v>
      </c>
      <c r="D271" s="10">
        <v>3.0</v>
      </c>
      <c r="E271" s="8" t="s">
        <v>395</v>
      </c>
      <c r="F271" s="10">
        <v>0.0</v>
      </c>
      <c r="G271" s="8" t="s">
        <v>370</v>
      </c>
      <c r="H271" s="8" t="s">
        <v>371</v>
      </c>
    </row>
    <row r="272">
      <c r="A272" s="8" t="s">
        <v>144</v>
      </c>
      <c r="B272" s="8" t="s">
        <v>25</v>
      </c>
      <c r="C272" s="8" t="s">
        <v>52</v>
      </c>
      <c r="D272" s="10">
        <v>4.0</v>
      </c>
      <c r="E272" s="8" t="s">
        <v>395</v>
      </c>
      <c r="F272" s="10">
        <v>3500.0</v>
      </c>
      <c r="G272" s="8" t="s">
        <v>370</v>
      </c>
      <c r="H272" s="8" t="s">
        <v>371</v>
      </c>
    </row>
    <row r="273">
      <c r="A273" s="8" t="s">
        <v>144</v>
      </c>
      <c r="B273" s="8" t="s">
        <v>25</v>
      </c>
      <c r="C273" s="8" t="s">
        <v>52</v>
      </c>
      <c r="D273" s="10">
        <v>5.0</v>
      </c>
      <c r="E273" s="8" t="s">
        <v>397</v>
      </c>
      <c r="F273" s="10">
        <v>0.0</v>
      </c>
      <c r="G273" s="8" t="s">
        <v>370</v>
      </c>
      <c r="H273" s="8" t="s">
        <v>371</v>
      </c>
    </row>
    <row r="274">
      <c r="A274" s="8" t="s">
        <v>144</v>
      </c>
      <c r="B274" s="8" t="s">
        <v>25</v>
      </c>
      <c r="C274" s="8" t="s">
        <v>52</v>
      </c>
      <c r="D274" s="10">
        <v>6.0</v>
      </c>
      <c r="E274" s="8" t="s">
        <v>395</v>
      </c>
      <c r="F274" s="10">
        <v>0.0</v>
      </c>
      <c r="G274" s="8" t="s">
        <v>370</v>
      </c>
      <c r="H274" s="8" t="s">
        <v>371</v>
      </c>
    </row>
    <row r="275">
      <c r="A275" s="8" t="s">
        <v>146</v>
      </c>
      <c r="B275" s="8" t="s">
        <v>25</v>
      </c>
      <c r="C275" s="8" t="s">
        <v>115</v>
      </c>
      <c r="D275" s="10">
        <v>1.0</v>
      </c>
      <c r="E275" s="8" t="s">
        <v>395</v>
      </c>
      <c r="F275" s="10">
        <v>0.0</v>
      </c>
      <c r="G275" s="8" t="s">
        <v>370</v>
      </c>
      <c r="H275" s="8" t="s">
        <v>371</v>
      </c>
    </row>
    <row r="276">
      <c r="A276" s="8" t="s">
        <v>146</v>
      </c>
      <c r="B276" s="8" t="s">
        <v>25</v>
      </c>
      <c r="C276" s="8" t="s">
        <v>115</v>
      </c>
      <c r="D276" s="10">
        <v>2.0</v>
      </c>
      <c r="E276" s="8" t="s">
        <v>397</v>
      </c>
      <c r="F276" s="10">
        <v>0.0</v>
      </c>
      <c r="G276" s="8" t="s">
        <v>370</v>
      </c>
      <c r="H276" s="8" t="s">
        <v>371</v>
      </c>
    </row>
    <row r="277">
      <c r="A277" s="8" t="s">
        <v>146</v>
      </c>
      <c r="B277" s="8" t="s">
        <v>25</v>
      </c>
      <c r="C277" s="8" t="s">
        <v>115</v>
      </c>
      <c r="D277" s="10">
        <v>3.0</v>
      </c>
      <c r="E277" s="8" t="s">
        <v>395</v>
      </c>
      <c r="F277" s="10">
        <v>3000.0</v>
      </c>
      <c r="G277" s="8" t="s">
        <v>370</v>
      </c>
      <c r="H277" s="8" t="s">
        <v>371</v>
      </c>
    </row>
    <row r="278">
      <c r="A278" s="8" t="s">
        <v>146</v>
      </c>
      <c r="B278" s="8" t="s">
        <v>25</v>
      </c>
      <c r="C278" s="8" t="s">
        <v>115</v>
      </c>
      <c r="D278" s="10">
        <v>4.0</v>
      </c>
      <c r="E278" s="8" t="s">
        <v>395</v>
      </c>
      <c r="F278" s="10">
        <v>0.0</v>
      </c>
      <c r="G278" s="8" t="s">
        <v>370</v>
      </c>
      <c r="H278" s="8" t="s">
        <v>371</v>
      </c>
    </row>
    <row r="279">
      <c r="A279" s="8" t="s">
        <v>146</v>
      </c>
      <c r="B279" s="8" t="s">
        <v>25</v>
      </c>
      <c r="C279" s="8" t="s">
        <v>115</v>
      </c>
      <c r="D279" s="10">
        <v>5.0</v>
      </c>
      <c r="E279" s="8" t="s">
        <v>397</v>
      </c>
      <c r="F279" s="10">
        <v>5940.8</v>
      </c>
      <c r="G279" s="8" t="s">
        <v>370</v>
      </c>
      <c r="H279" s="8" t="s">
        <v>371</v>
      </c>
    </row>
    <row r="280">
      <c r="A280" s="8" t="s">
        <v>146</v>
      </c>
      <c r="B280" s="8" t="s">
        <v>25</v>
      </c>
      <c r="C280" s="8" t="s">
        <v>115</v>
      </c>
      <c r="D280" s="10">
        <v>6.0</v>
      </c>
      <c r="E280" s="8" t="s">
        <v>395</v>
      </c>
      <c r="F280" s="10">
        <v>0.0</v>
      </c>
      <c r="G280" s="8" t="s">
        <v>370</v>
      </c>
      <c r="H280" s="8" t="s">
        <v>371</v>
      </c>
    </row>
    <row r="281">
      <c r="A281" s="8" t="s">
        <v>148</v>
      </c>
      <c r="B281" s="8" t="s">
        <v>25</v>
      </c>
      <c r="C281" s="8" t="s">
        <v>53</v>
      </c>
      <c r="D281" s="10">
        <v>1.0</v>
      </c>
      <c r="E281" s="8" t="s">
        <v>395</v>
      </c>
      <c r="F281" s="10">
        <v>3500.0</v>
      </c>
      <c r="G281" s="8" t="s">
        <v>370</v>
      </c>
      <c r="H281" s="8" t="s">
        <v>371</v>
      </c>
    </row>
    <row r="282">
      <c r="A282" s="8" t="s">
        <v>148</v>
      </c>
      <c r="B282" s="8" t="s">
        <v>25</v>
      </c>
      <c r="C282" s="8" t="s">
        <v>53</v>
      </c>
      <c r="D282" s="10">
        <v>2.0</v>
      </c>
      <c r="E282" s="8" t="s">
        <v>397</v>
      </c>
      <c r="F282" s="10">
        <v>0.0</v>
      </c>
      <c r="G282" s="8" t="s">
        <v>370</v>
      </c>
      <c r="H282" s="8" t="s">
        <v>371</v>
      </c>
    </row>
    <row r="283">
      <c r="A283" s="8" t="s">
        <v>148</v>
      </c>
      <c r="B283" s="8" t="s">
        <v>25</v>
      </c>
      <c r="C283" s="8" t="s">
        <v>53</v>
      </c>
      <c r="D283" s="10">
        <v>3.0</v>
      </c>
      <c r="E283" s="8" t="s">
        <v>395</v>
      </c>
      <c r="F283" s="10">
        <v>0.0</v>
      </c>
      <c r="G283" s="8" t="s">
        <v>370</v>
      </c>
      <c r="H283" s="8" t="s">
        <v>371</v>
      </c>
    </row>
    <row r="284">
      <c r="A284" s="8" t="s">
        <v>148</v>
      </c>
      <c r="B284" s="8" t="s">
        <v>25</v>
      </c>
      <c r="C284" s="8" t="s">
        <v>53</v>
      </c>
      <c r="D284" s="10">
        <v>4.0</v>
      </c>
      <c r="E284" s="8" t="s">
        <v>395</v>
      </c>
      <c r="F284" s="10">
        <v>3500.0</v>
      </c>
      <c r="G284" s="8" t="s">
        <v>370</v>
      </c>
      <c r="H284" s="8" t="s">
        <v>371</v>
      </c>
    </row>
    <row r="285">
      <c r="A285" s="8" t="s">
        <v>148</v>
      </c>
      <c r="B285" s="8" t="s">
        <v>25</v>
      </c>
      <c r="C285" s="8" t="s">
        <v>53</v>
      </c>
      <c r="D285" s="10">
        <v>5.0</v>
      </c>
      <c r="E285" s="8" t="s">
        <v>395</v>
      </c>
      <c r="F285" s="10">
        <v>0.0</v>
      </c>
      <c r="G285" s="8" t="s">
        <v>370</v>
      </c>
      <c r="H285" s="8" t="s">
        <v>371</v>
      </c>
    </row>
    <row r="286">
      <c r="A286" s="8" t="s">
        <v>150</v>
      </c>
      <c r="B286" s="8" t="s">
        <v>25</v>
      </c>
      <c r="C286" s="8" t="s">
        <v>52</v>
      </c>
      <c r="D286" s="10">
        <v>1.0</v>
      </c>
      <c r="E286" s="8" t="s">
        <v>395</v>
      </c>
      <c r="F286" s="10">
        <v>0.0</v>
      </c>
      <c r="G286" s="8" t="s">
        <v>370</v>
      </c>
      <c r="H286" s="8" t="s">
        <v>371</v>
      </c>
    </row>
    <row r="287">
      <c r="A287" s="8" t="s">
        <v>150</v>
      </c>
      <c r="B287" s="8" t="s">
        <v>25</v>
      </c>
      <c r="C287" s="8" t="s">
        <v>52</v>
      </c>
      <c r="D287" s="10">
        <v>2.0</v>
      </c>
      <c r="E287" s="8" t="s">
        <v>397</v>
      </c>
      <c r="F287" s="10">
        <v>0.0</v>
      </c>
      <c r="G287" s="8" t="s">
        <v>370</v>
      </c>
      <c r="H287" s="8" t="s">
        <v>371</v>
      </c>
    </row>
    <row r="288">
      <c r="A288" s="8" t="s">
        <v>150</v>
      </c>
      <c r="B288" s="8" t="s">
        <v>25</v>
      </c>
      <c r="C288" s="8" t="s">
        <v>52</v>
      </c>
      <c r="D288" s="10">
        <v>3.0</v>
      </c>
      <c r="E288" s="8" t="s">
        <v>395</v>
      </c>
      <c r="F288" s="10">
        <v>0.0</v>
      </c>
      <c r="G288" s="8" t="s">
        <v>370</v>
      </c>
      <c r="H288" s="8" t="s">
        <v>371</v>
      </c>
    </row>
    <row r="289">
      <c r="A289" s="8" t="s">
        <v>150</v>
      </c>
      <c r="B289" s="8" t="s">
        <v>25</v>
      </c>
      <c r="C289" s="8" t="s">
        <v>52</v>
      </c>
      <c r="D289" s="10">
        <v>4.0</v>
      </c>
      <c r="E289" s="8" t="s">
        <v>397</v>
      </c>
      <c r="F289" s="10">
        <v>3500.0</v>
      </c>
      <c r="G289" s="8" t="s">
        <v>370</v>
      </c>
      <c r="H289" s="8" t="s">
        <v>371</v>
      </c>
    </row>
    <row r="290">
      <c r="A290" s="8" t="s">
        <v>150</v>
      </c>
      <c r="B290" s="8" t="s">
        <v>25</v>
      </c>
      <c r="C290" s="8" t="s">
        <v>52</v>
      </c>
      <c r="D290" s="10">
        <v>5.0</v>
      </c>
      <c r="E290" s="8" t="s">
        <v>395</v>
      </c>
      <c r="F290" s="10">
        <v>0.0</v>
      </c>
      <c r="G290" s="8" t="s">
        <v>370</v>
      </c>
      <c r="H290" s="8" t="s">
        <v>371</v>
      </c>
    </row>
    <row r="291">
      <c r="A291" s="8" t="s">
        <v>153</v>
      </c>
      <c r="B291" s="8" t="s">
        <v>25</v>
      </c>
      <c r="C291" s="8" t="s">
        <v>115</v>
      </c>
      <c r="D291" s="10">
        <v>1.0</v>
      </c>
      <c r="E291" s="8" t="s">
        <v>395</v>
      </c>
      <c r="F291" s="10">
        <v>0.0</v>
      </c>
      <c r="G291" s="8" t="s">
        <v>370</v>
      </c>
      <c r="H291" s="8" t="s">
        <v>371</v>
      </c>
    </row>
    <row r="292">
      <c r="A292" s="8" t="s">
        <v>153</v>
      </c>
      <c r="B292" s="8" t="s">
        <v>25</v>
      </c>
      <c r="C292" s="8" t="s">
        <v>115</v>
      </c>
      <c r="D292" s="10">
        <v>2.0</v>
      </c>
      <c r="E292" s="8" t="s">
        <v>397</v>
      </c>
      <c r="F292" s="10">
        <v>0.0</v>
      </c>
      <c r="G292" s="8" t="s">
        <v>370</v>
      </c>
      <c r="H292" s="8" t="s">
        <v>371</v>
      </c>
    </row>
    <row r="293">
      <c r="A293" s="8" t="s">
        <v>153</v>
      </c>
      <c r="B293" s="8" t="s">
        <v>25</v>
      </c>
      <c r="C293" s="8" t="s">
        <v>115</v>
      </c>
      <c r="D293" s="10">
        <v>3.0</v>
      </c>
      <c r="E293" s="8" t="s">
        <v>395</v>
      </c>
      <c r="F293" s="10">
        <v>0.0</v>
      </c>
      <c r="G293" s="8" t="s">
        <v>370</v>
      </c>
      <c r="H293" s="8" t="s">
        <v>371</v>
      </c>
    </row>
    <row r="294">
      <c r="A294" s="8" t="s">
        <v>153</v>
      </c>
      <c r="B294" s="8" t="s">
        <v>25</v>
      </c>
      <c r="C294" s="8" t="s">
        <v>115</v>
      </c>
      <c r="D294" s="10">
        <v>4.0</v>
      </c>
      <c r="E294" s="8" t="s">
        <v>397</v>
      </c>
      <c r="F294" s="10">
        <v>0.0</v>
      </c>
      <c r="G294" s="8" t="s">
        <v>370</v>
      </c>
      <c r="H294" s="8" t="s">
        <v>371</v>
      </c>
    </row>
    <row r="295">
      <c r="A295" s="8" t="s">
        <v>153</v>
      </c>
      <c r="B295" s="8" t="s">
        <v>25</v>
      </c>
      <c r="C295" s="8" t="s">
        <v>115</v>
      </c>
      <c r="D295" s="10">
        <v>5.0</v>
      </c>
      <c r="E295" s="8" t="s">
        <v>395</v>
      </c>
      <c r="F295" s="10">
        <v>0.0</v>
      </c>
      <c r="G295" s="8" t="s">
        <v>370</v>
      </c>
      <c r="H295" s="8" t="s">
        <v>371</v>
      </c>
    </row>
    <row r="296">
      <c r="A296" s="8" t="s">
        <v>156</v>
      </c>
      <c r="B296" s="8" t="s">
        <v>25</v>
      </c>
      <c r="C296" s="8" t="s">
        <v>53</v>
      </c>
      <c r="D296" s="10">
        <v>1.0</v>
      </c>
      <c r="E296" s="8" t="s">
        <v>395</v>
      </c>
      <c r="F296" s="10">
        <v>3500.0</v>
      </c>
      <c r="G296" s="8" t="s">
        <v>370</v>
      </c>
      <c r="H296" s="8" t="s">
        <v>371</v>
      </c>
    </row>
    <row r="297">
      <c r="A297" s="8" t="s">
        <v>156</v>
      </c>
      <c r="B297" s="8" t="s">
        <v>25</v>
      </c>
      <c r="C297" s="8" t="s">
        <v>53</v>
      </c>
      <c r="D297" s="10">
        <v>2.0</v>
      </c>
      <c r="E297" s="8" t="s">
        <v>397</v>
      </c>
      <c r="F297" s="10">
        <v>0.0</v>
      </c>
      <c r="G297" s="8" t="s">
        <v>370</v>
      </c>
      <c r="H297" s="8" t="s">
        <v>371</v>
      </c>
    </row>
    <row r="298">
      <c r="A298" s="8" t="s">
        <v>156</v>
      </c>
      <c r="B298" s="8" t="s">
        <v>25</v>
      </c>
      <c r="C298" s="8" t="s">
        <v>53</v>
      </c>
      <c r="D298" s="10">
        <v>3.0</v>
      </c>
      <c r="E298" s="8" t="s">
        <v>395</v>
      </c>
      <c r="F298" s="10">
        <v>0.0</v>
      </c>
      <c r="G298" s="8" t="s">
        <v>370</v>
      </c>
      <c r="H298" s="8" t="s">
        <v>371</v>
      </c>
    </row>
    <row r="299">
      <c r="A299" s="8" t="s">
        <v>156</v>
      </c>
      <c r="B299" s="8" t="s">
        <v>25</v>
      </c>
      <c r="C299" s="8" t="s">
        <v>53</v>
      </c>
      <c r="D299" s="10">
        <v>4.0</v>
      </c>
      <c r="E299" s="8" t="s">
        <v>395</v>
      </c>
      <c r="F299" s="10">
        <v>0.0</v>
      </c>
      <c r="G299" s="8" t="s">
        <v>370</v>
      </c>
      <c r="H299" s="8" t="s">
        <v>371</v>
      </c>
    </row>
    <row r="300">
      <c r="A300" s="8" t="s">
        <v>158</v>
      </c>
      <c r="B300" s="8" t="s">
        <v>25</v>
      </c>
      <c r="C300" s="8" t="s">
        <v>53</v>
      </c>
      <c r="D300" s="10">
        <v>1.0</v>
      </c>
      <c r="E300" s="8" t="s">
        <v>395</v>
      </c>
      <c r="F300" s="10">
        <v>0.0</v>
      </c>
      <c r="G300" s="8" t="s">
        <v>370</v>
      </c>
      <c r="H300" s="8" t="s">
        <v>371</v>
      </c>
    </row>
    <row r="301">
      <c r="A301" s="8" t="s">
        <v>158</v>
      </c>
      <c r="B301" s="8" t="s">
        <v>25</v>
      </c>
      <c r="C301" s="8" t="s">
        <v>53</v>
      </c>
      <c r="D301" s="10">
        <v>2.0</v>
      </c>
      <c r="E301" s="8" t="s">
        <v>397</v>
      </c>
      <c r="F301" s="10">
        <v>0.0</v>
      </c>
      <c r="G301" s="8" t="s">
        <v>370</v>
      </c>
      <c r="H301" s="8" t="s">
        <v>371</v>
      </c>
    </row>
    <row r="302">
      <c r="A302" s="8" t="s">
        <v>158</v>
      </c>
      <c r="B302" s="8" t="s">
        <v>25</v>
      </c>
      <c r="C302" s="8" t="s">
        <v>53</v>
      </c>
      <c r="D302" s="10">
        <v>3.0</v>
      </c>
      <c r="E302" s="8" t="s">
        <v>395</v>
      </c>
      <c r="F302" s="10">
        <v>0.0</v>
      </c>
      <c r="G302" s="8" t="s">
        <v>370</v>
      </c>
      <c r="H302" s="8" t="s">
        <v>371</v>
      </c>
    </row>
    <row r="303">
      <c r="A303" s="8" t="s">
        <v>158</v>
      </c>
      <c r="B303" s="8" t="s">
        <v>25</v>
      </c>
      <c r="C303" s="8" t="s">
        <v>53</v>
      </c>
      <c r="D303" s="10">
        <v>4.0</v>
      </c>
      <c r="E303" s="8" t="s">
        <v>395</v>
      </c>
      <c r="F303" s="10">
        <v>3500.0</v>
      </c>
      <c r="G303" s="8" t="s">
        <v>370</v>
      </c>
      <c r="H303" s="8" t="s">
        <v>371</v>
      </c>
    </row>
    <row r="304">
      <c r="A304" s="8" t="s">
        <v>160</v>
      </c>
      <c r="B304" s="8" t="s">
        <v>25</v>
      </c>
      <c r="C304" s="8" t="s">
        <v>52</v>
      </c>
      <c r="D304" s="10">
        <v>1.0</v>
      </c>
      <c r="E304" s="8" t="s">
        <v>395</v>
      </c>
      <c r="F304" s="10">
        <v>0.0</v>
      </c>
      <c r="G304" s="8" t="s">
        <v>370</v>
      </c>
      <c r="H304" s="8" t="s">
        <v>371</v>
      </c>
    </row>
    <row r="305">
      <c r="A305" s="8" t="s">
        <v>160</v>
      </c>
      <c r="B305" s="8" t="s">
        <v>25</v>
      </c>
      <c r="C305" s="8" t="s">
        <v>52</v>
      </c>
      <c r="D305" s="10">
        <v>2.0</v>
      </c>
      <c r="E305" s="8" t="s">
        <v>397</v>
      </c>
      <c r="F305" s="10">
        <v>0.0</v>
      </c>
      <c r="G305" s="8" t="s">
        <v>370</v>
      </c>
      <c r="H305" s="8" t="s">
        <v>371</v>
      </c>
    </row>
    <row r="306">
      <c r="A306" s="8" t="s">
        <v>160</v>
      </c>
      <c r="B306" s="8" t="s">
        <v>25</v>
      </c>
      <c r="C306" s="8" t="s">
        <v>52</v>
      </c>
      <c r="D306" s="10">
        <v>3.0</v>
      </c>
      <c r="E306" s="8" t="s">
        <v>395</v>
      </c>
      <c r="F306" s="10">
        <v>0.0</v>
      </c>
      <c r="G306" s="8" t="s">
        <v>370</v>
      </c>
      <c r="H306" s="8" t="s">
        <v>371</v>
      </c>
    </row>
    <row r="307">
      <c r="A307" s="8" t="s">
        <v>162</v>
      </c>
      <c r="B307" s="8" t="s">
        <v>25</v>
      </c>
      <c r="C307" s="8" t="s">
        <v>218</v>
      </c>
      <c r="D307" s="10">
        <v>1.0</v>
      </c>
      <c r="E307" s="8" t="s">
        <v>395</v>
      </c>
      <c r="F307" s="10">
        <v>0.0</v>
      </c>
      <c r="G307" s="8" t="s">
        <v>370</v>
      </c>
      <c r="H307" s="8" t="s">
        <v>371</v>
      </c>
    </row>
    <row r="308">
      <c r="A308" s="8" t="s">
        <v>162</v>
      </c>
      <c r="B308" s="8" t="s">
        <v>25</v>
      </c>
      <c r="C308" s="8" t="s">
        <v>218</v>
      </c>
      <c r="D308" s="10">
        <v>2.0</v>
      </c>
      <c r="E308" s="8" t="s">
        <v>397</v>
      </c>
      <c r="F308" s="10">
        <v>3500.0</v>
      </c>
      <c r="G308" s="8" t="s">
        <v>370</v>
      </c>
      <c r="H308" s="8" t="s">
        <v>371</v>
      </c>
    </row>
    <row r="309">
      <c r="A309" s="8" t="s">
        <v>162</v>
      </c>
      <c r="B309" s="8" t="s">
        <v>25</v>
      </c>
      <c r="C309" s="8" t="s">
        <v>218</v>
      </c>
      <c r="D309" s="10">
        <v>3.0</v>
      </c>
      <c r="E309" s="8" t="s">
        <v>395</v>
      </c>
      <c r="F309" s="10">
        <v>0.0</v>
      </c>
      <c r="G309" s="8" t="s">
        <v>370</v>
      </c>
      <c r="H309" s="8" t="s">
        <v>371</v>
      </c>
    </row>
    <row r="310">
      <c r="A310" s="8" t="s">
        <v>162</v>
      </c>
      <c r="B310" s="8" t="s">
        <v>25</v>
      </c>
      <c r="C310" s="8" t="s">
        <v>218</v>
      </c>
      <c r="D310" s="10">
        <v>4.0</v>
      </c>
      <c r="E310" s="8" t="s">
        <v>397</v>
      </c>
      <c r="F310" s="10">
        <v>0.0</v>
      </c>
      <c r="G310" s="8" t="s">
        <v>370</v>
      </c>
      <c r="H310" s="8" t="s">
        <v>371</v>
      </c>
    </row>
    <row r="311">
      <c r="A311" s="8" t="s">
        <v>162</v>
      </c>
      <c r="B311" s="8" t="s">
        <v>25</v>
      </c>
      <c r="C311" s="8" t="s">
        <v>218</v>
      </c>
      <c r="D311" s="10">
        <v>5.0</v>
      </c>
      <c r="E311" s="8" t="s">
        <v>395</v>
      </c>
      <c r="F311" s="10">
        <v>0.0</v>
      </c>
      <c r="G311" s="8" t="s">
        <v>370</v>
      </c>
      <c r="H311" s="8" t="s">
        <v>371</v>
      </c>
    </row>
    <row r="312">
      <c r="A312" s="8" t="s">
        <v>270</v>
      </c>
      <c r="B312" s="8" t="s">
        <v>25</v>
      </c>
      <c r="C312" s="8" t="s">
        <v>127</v>
      </c>
      <c r="D312" s="10">
        <v>1.0</v>
      </c>
      <c r="E312" s="8" t="s">
        <v>395</v>
      </c>
      <c r="F312" s="10">
        <v>0.0</v>
      </c>
      <c r="G312" s="8" t="s">
        <v>370</v>
      </c>
      <c r="H312" s="8" t="s">
        <v>371</v>
      </c>
    </row>
    <row r="313">
      <c r="A313" s="8" t="s">
        <v>270</v>
      </c>
      <c r="B313" s="8" t="s">
        <v>25</v>
      </c>
      <c r="C313" s="8" t="s">
        <v>127</v>
      </c>
      <c r="D313" s="10">
        <v>2.0</v>
      </c>
      <c r="E313" s="8" t="s">
        <v>396</v>
      </c>
      <c r="F313" s="10">
        <v>0.0</v>
      </c>
      <c r="G313" s="8" t="s">
        <v>370</v>
      </c>
      <c r="H313" s="8" t="s">
        <v>371</v>
      </c>
    </row>
    <row r="314">
      <c r="A314" s="8" t="s">
        <v>270</v>
      </c>
      <c r="B314" s="8" t="s">
        <v>25</v>
      </c>
      <c r="C314" s="8" t="s">
        <v>127</v>
      </c>
      <c r="D314" s="10">
        <v>3.0</v>
      </c>
      <c r="E314" s="8" t="s">
        <v>396</v>
      </c>
      <c r="F314" s="10">
        <v>3500.0</v>
      </c>
      <c r="G314" s="8" t="s">
        <v>370</v>
      </c>
      <c r="H314" s="8" t="s">
        <v>371</v>
      </c>
    </row>
    <row r="315">
      <c r="A315" s="8" t="s">
        <v>270</v>
      </c>
      <c r="B315" s="8" t="s">
        <v>25</v>
      </c>
      <c r="C315" s="8" t="s">
        <v>127</v>
      </c>
      <c r="D315" s="10">
        <v>4.0</v>
      </c>
      <c r="E315" s="8" t="s">
        <v>397</v>
      </c>
      <c r="F315" s="10">
        <v>0.0</v>
      </c>
      <c r="G315" s="8" t="s">
        <v>370</v>
      </c>
      <c r="H315" s="8" t="s">
        <v>371</v>
      </c>
    </row>
    <row r="316">
      <c r="A316" s="8" t="s">
        <v>270</v>
      </c>
      <c r="B316" s="8" t="s">
        <v>25</v>
      </c>
      <c r="C316" s="8" t="s">
        <v>127</v>
      </c>
      <c r="D316" s="10">
        <v>5.0</v>
      </c>
      <c r="E316" s="8" t="s">
        <v>395</v>
      </c>
      <c r="F316" s="10">
        <v>0.0</v>
      </c>
      <c r="G316" s="8" t="s">
        <v>370</v>
      </c>
      <c r="H316" s="8" t="s">
        <v>371</v>
      </c>
    </row>
    <row r="317">
      <c r="A317" s="8" t="s">
        <v>270</v>
      </c>
      <c r="B317" s="8" t="s">
        <v>25</v>
      </c>
      <c r="C317" s="8" t="s">
        <v>127</v>
      </c>
      <c r="D317" s="10">
        <v>6.0</v>
      </c>
      <c r="E317" s="8" t="s">
        <v>397</v>
      </c>
      <c r="F317" s="10">
        <v>0.0</v>
      </c>
      <c r="G317" s="8" t="s">
        <v>370</v>
      </c>
      <c r="H317" s="8" t="s">
        <v>371</v>
      </c>
    </row>
    <row r="318">
      <c r="A318" s="8" t="s">
        <v>270</v>
      </c>
      <c r="B318" s="8" t="s">
        <v>25</v>
      </c>
      <c r="C318" s="8" t="s">
        <v>127</v>
      </c>
      <c r="D318" s="10">
        <v>7.0</v>
      </c>
      <c r="E318" s="8" t="s">
        <v>395</v>
      </c>
      <c r="F318" s="10">
        <v>0.0</v>
      </c>
      <c r="G318" s="8" t="s">
        <v>370</v>
      </c>
      <c r="H318" s="8" t="s">
        <v>371</v>
      </c>
    </row>
    <row r="319">
      <c r="A319" s="8" t="s">
        <v>28</v>
      </c>
      <c r="B319" s="8" t="s">
        <v>25</v>
      </c>
      <c r="C319" s="8" t="s">
        <v>53</v>
      </c>
      <c r="D319" s="10">
        <v>1.0</v>
      </c>
      <c r="E319" s="8" t="s">
        <v>395</v>
      </c>
      <c r="F319" s="10">
        <v>0.0</v>
      </c>
      <c r="G319" s="8" t="s">
        <v>370</v>
      </c>
      <c r="H319" s="8" t="s">
        <v>371</v>
      </c>
    </row>
    <row r="320">
      <c r="A320" s="8" t="s">
        <v>28</v>
      </c>
      <c r="B320" s="8" t="s">
        <v>25</v>
      </c>
      <c r="C320" s="8" t="s">
        <v>53</v>
      </c>
      <c r="D320" s="10">
        <v>2.0</v>
      </c>
      <c r="E320" s="8" t="s">
        <v>395</v>
      </c>
      <c r="F320" s="10">
        <v>0.0</v>
      </c>
      <c r="G320" s="8" t="s">
        <v>370</v>
      </c>
      <c r="H320" s="8" t="s">
        <v>371</v>
      </c>
    </row>
    <row r="321">
      <c r="A321" s="8" t="s">
        <v>28</v>
      </c>
      <c r="B321" s="8" t="s">
        <v>25</v>
      </c>
      <c r="C321" s="8" t="s">
        <v>53</v>
      </c>
      <c r="D321" s="10">
        <v>3.0</v>
      </c>
      <c r="E321" s="8" t="s">
        <v>397</v>
      </c>
      <c r="F321" s="10">
        <v>3500.0</v>
      </c>
      <c r="G321" s="8" t="s">
        <v>370</v>
      </c>
      <c r="H321" s="8" t="s">
        <v>371</v>
      </c>
    </row>
    <row r="322">
      <c r="A322" s="8" t="s">
        <v>28</v>
      </c>
      <c r="B322" s="8" t="s">
        <v>25</v>
      </c>
      <c r="C322" s="8" t="s">
        <v>53</v>
      </c>
      <c r="D322" s="10">
        <v>4.0</v>
      </c>
      <c r="E322" s="8" t="s">
        <v>395</v>
      </c>
      <c r="F322" s="10">
        <v>0.0</v>
      </c>
      <c r="G322" s="8" t="s">
        <v>370</v>
      </c>
      <c r="H322" s="8" t="s">
        <v>371</v>
      </c>
    </row>
    <row r="323">
      <c r="A323" s="8" t="s">
        <v>272</v>
      </c>
      <c r="B323" s="8" t="s">
        <v>25</v>
      </c>
      <c r="C323" s="8" t="s">
        <v>69</v>
      </c>
      <c r="D323" s="10">
        <v>1.0</v>
      </c>
      <c r="E323" s="8" t="s">
        <v>395</v>
      </c>
      <c r="F323" s="10">
        <v>0.0</v>
      </c>
      <c r="G323" s="8" t="s">
        <v>370</v>
      </c>
      <c r="H323" s="8" t="s">
        <v>371</v>
      </c>
    </row>
    <row r="324">
      <c r="A324" s="8" t="s">
        <v>272</v>
      </c>
      <c r="B324" s="8" t="s">
        <v>25</v>
      </c>
      <c r="C324" s="8" t="s">
        <v>69</v>
      </c>
      <c r="D324" s="10">
        <v>2.0</v>
      </c>
      <c r="E324" s="8" t="s">
        <v>396</v>
      </c>
      <c r="F324" s="10">
        <v>0.0</v>
      </c>
      <c r="G324" s="8" t="s">
        <v>370</v>
      </c>
      <c r="H324" s="8" t="s">
        <v>371</v>
      </c>
    </row>
    <row r="325">
      <c r="A325" s="8" t="s">
        <v>272</v>
      </c>
      <c r="B325" s="8" t="s">
        <v>25</v>
      </c>
      <c r="C325" s="8" t="s">
        <v>69</v>
      </c>
      <c r="D325" s="10">
        <v>3.0</v>
      </c>
      <c r="E325" s="8" t="s">
        <v>396</v>
      </c>
      <c r="F325" s="10">
        <v>0.0</v>
      </c>
      <c r="G325" s="8" t="s">
        <v>370</v>
      </c>
      <c r="H325" s="8" t="s">
        <v>371</v>
      </c>
    </row>
    <row r="326">
      <c r="A326" s="8" t="s">
        <v>272</v>
      </c>
      <c r="B326" s="8" t="s">
        <v>25</v>
      </c>
      <c r="C326" s="8" t="s">
        <v>69</v>
      </c>
      <c r="D326" s="10">
        <v>4.0</v>
      </c>
      <c r="E326" s="8" t="s">
        <v>397</v>
      </c>
      <c r="F326" s="10">
        <v>0.0</v>
      </c>
      <c r="G326" s="8" t="s">
        <v>370</v>
      </c>
      <c r="H326" s="8" t="s">
        <v>371</v>
      </c>
    </row>
    <row r="327">
      <c r="A327" s="8" t="s">
        <v>272</v>
      </c>
      <c r="B327" s="8" t="s">
        <v>25</v>
      </c>
      <c r="C327" s="8" t="s">
        <v>69</v>
      </c>
      <c r="D327" s="10">
        <v>5.0</v>
      </c>
      <c r="E327" s="8" t="s">
        <v>398</v>
      </c>
      <c r="F327" s="10">
        <v>0.0</v>
      </c>
      <c r="G327" s="8" t="s">
        <v>370</v>
      </c>
      <c r="H327" s="8" t="s">
        <v>371</v>
      </c>
    </row>
    <row r="328">
      <c r="A328" s="8" t="s">
        <v>274</v>
      </c>
      <c r="B328" s="8" t="s">
        <v>25</v>
      </c>
      <c r="C328" s="8" t="s">
        <v>53</v>
      </c>
      <c r="D328" s="10">
        <v>1.0</v>
      </c>
      <c r="E328" s="8" t="s">
        <v>395</v>
      </c>
      <c r="F328" s="10">
        <v>3500.0</v>
      </c>
      <c r="G328" s="8" t="s">
        <v>370</v>
      </c>
      <c r="H328" s="8" t="s">
        <v>371</v>
      </c>
    </row>
    <row r="329">
      <c r="A329" s="8" t="s">
        <v>274</v>
      </c>
      <c r="B329" s="8" t="s">
        <v>25</v>
      </c>
      <c r="C329" s="8" t="s">
        <v>53</v>
      </c>
      <c r="D329" s="10">
        <v>2.0</v>
      </c>
      <c r="E329" s="8" t="s">
        <v>396</v>
      </c>
      <c r="F329" s="10">
        <v>0.0</v>
      </c>
      <c r="G329" s="8" t="s">
        <v>370</v>
      </c>
      <c r="H329" s="8" t="s">
        <v>371</v>
      </c>
    </row>
    <row r="330">
      <c r="A330" s="8" t="s">
        <v>274</v>
      </c>
      <c r="B330" s="8" t="s">
        <v>25</v>
      </c>
      <c r="C330" s="8" t="s">
        <v>53</v>
      </c>
      <c r="D330" s="10">
        <v>3.0</v>
      </c>
      <c r="E330" s="8" t="s">
        <v>396</v>
      </c>
      <c r="F330" s="10">
        <v>0.0</v>
      </c>
      <c r="G330" s="8" t="s">
        <v>370</v>
      </c>
      <c r="H330" s="8" t="s">
        <v>371</v>
      </c>
    </row>
    <row r="331">
      <c r="A331" s="8" t="s">
        <v>274</v>
      </c>
      <c r="B331" s="8" t="s">
        <v>25</v>
      </c>
      <c r="C331" s="8" t="s">
        <v>53</v>
      </c>
      <c r="D331" s="10">
        <v>4.0</v>
      </c>
      <c r="E331" s="8" t="s">
        <v>397</v>
      </c>
      <c r="F331" s="10">
        <v>0.0</v>
      </c>
      <c r="G331" s="8" t="s">
        <v>370</v>
      </c>
      <c r="H331" s="8" t="s">
        <v>371</v>
      </c>
    </row>
    <row r="332">
      <c r="A332" s="8" t="s">
        <v>274</v>
      </c>
      <c r="B332" s="8" t="s">
        <v>25</v>
      </c>
      <c r="C332" s="8" t="s">
        <v>53</v>
      </c>
      <c r="D332" s="10">
        <v>5.0</v>
      </c>
      <c r="E332" s="8" t="s">
        <v>395</v>
      </c>
      <c r="F332" s="10">
        <v>0.0</v>
      </c>
      <c r="G332" s="8" t="s">
        <v>370</v>
      </c>
      <c r="H332" s="8" t="s">
        <v>371</v>
      </c>
    </row>
    <row r="333">
      <c r="A333" s="8" t="s">
        <v>274</v>
      </c>
      <c r="B333" s="8" t="s">
        <v>25</v>
      </c>
      <c r="C333" s="8" t="s">
        <v>53</v>
      </c>
      <c r="D333" s="10">
        <v>6.0</v>
      </c>
      <c r="E333" s="8" t="s">
        <v>395</v>
      </c>
      <c r="F333" s="10">
        <v>0.0</v>
      </c>
      <c r="G333" s="8" t="s">
        <v>370</v>
      </c>
      <c r="H333" s="8" t="s">
        <v>371</v>
      </c>
    </row>
    <row r="334">
      <c r="A334" s="8" t="s">
        <v>276</v>
      </c>
      <c r="B334" s="8" t="s">
        <v>25</v>
      </c>
      <c r="C334" s="8" t="s">
        <v>53</v>
      </c>
      <c r="D334" s="10">
        <v>1.0</v>
      </c>
      <c r="E334" s="8" t="s">
        <v>395</v>
      </c>
      <c r="F334" s="10">
        <v>3500.0</v>
      </c>
      <c r="G334" s="8" t="s">
        <v>370</v>
      </c>
      <c r="H334" s="8" t="s">
        <v>371</v>
      </c>
    </row>
    <row r="335">
      <c r="A335" s="8" t="s">
        <v>276</v>
      </c>
      <c r="B335" s="8" t="s">
        <v>25</v>
      </c>
      <c r="C335" s="8" t="s">
        <v>53</v>
      </c>
      <c r="D335" s="10">
        <v>2.0</v>
      </c>
      <c r="E335" s="8" t="s">
        <v>396</v>
      </c>
      <c r="F335" s="10">
        <v>0.0</v>
      </c>
      <c r="G335" s="8" t="s">
        <v>370</v>
      </c>
      <c r="H335" s="8" t="s">
        <v>371</v>
      </c>
    </row>
    <row r="336">
      <c r="A336" s="8" t="s">
        <v>276</v>
      </c>
      <c r="B336" s="8" t="s">
        <v>25</v>
      </c>
      <c r="C336" s="8" t="s">
        <v>53</v>
      </c>
      <c r="D336" s="10">
        <v>3.0</v>
      </c>
      <c r="E336" s="8" t="s">
        <v>396</v>
      </c>
      <c r="F336" s="10">
        <v>0.0</v>
      </c>
      <c r="G336" s="8" t="s">
        <v>370</v>
      </c>
      <c r="H336" s="8" t="s">
        <v>371</v>
      </c>
    </row>
    <row r="337">
      <c r="A337" s="8" t="s">
        <v>276</v>
      </c>
      <c r="B337" s="8" t="s">
        <v>25</v>
      </c>
      <c r="C337" s="8" t="s">
        <v>53</v>
      </c>
      <c r="D337" s="10">
        <v>4.0</v>
      </c>
      <c r="E337" s="8" t="s">
        <v>397</v>
      </c>
      <c r="F337" s="10">
        <v>0.0</v>
      </c>
      <c r="G337" s="8" t="s">
        <v>370</v>
      </c>
      <c r="H337" s="8" t="s">
        <v>371</v>
      </c>
    </row>
    <row r="338">
      <c r="A338" s="8" t="s">
        <v>276</v>
      </c>
      <c r="B338" s="8" t="s">
        <v>25</v>
      </c>
      <c r="C338" s="8" t="s">
        <v>53</v>
      </c>
      <c r="D338" s="10">
        <v>5.0</v>
      </c>
      <c r="E338" s="8" t="s">
        <v>395</v>
      </c>
      <c r="F338" s="10">
        <v>0.0</v>
      </c>
      <c r="G338" s="8" t="s">
        <v>370</v>
      </c>
      <c r="H338" s="8" t="s">
        <v>371</v>
      </c>
    </row>
    <row r="339">
      <c r="A339" s="8" t="s">
        <v>278</v>
      </c>
      <c r="B339" s="8" t="s">
        <v>25</v>
      </c>
      <c r="C339" s="8" t="s">
        <v>53</v>
      </c>
      <c r="D339" s="10">
        <v>1.0</v>
      </c>
      <c r="E339" s="8" t="s">
        <v>395</v>
      </c>
      <c r="F339" s="10">
        <v>0.0</v>
      </c>
      <c r="G339" s="8" t="s">
        <v>370</v>
      </c>
      <c r="H339" s="8" t="s">
        <v>371</v>
      </c>
    </row>
    <row r="340">
      <c r="A340" s="8" t="s">
        <v>278</v>
      </c>
      <c r="B340" s="8" t="s">
        <v>25</v>
      </c>
      <c r="C340" s="8" t="s">
        <v>53</v>
      </c>
      <c r="D340" s="10">
        <v>2.0</v>
      </c>
      <c r="E340" s="8" t="s">
        <v>396</v>
      </c>
      <c r="F340" s="10">
        <v>3500.0</v>
      </c>
      <c r="G340" s="8" t="s">
        <v>370</v>
      </c>
      <c r="H340" s="8" t="s">
        <v>371</v>
      </c>
    </row>
    <row r="341">
      <c r="A341" s="8" t="s">
        <v>278</v>
      </c>
      <c r="B341" s="8" t="s">
        <v>25</v>
      </c>
      <c r="C341" s="8" t="s">
        <v>53</v>
      </c>
      <c r="D341" s="10">
        <v>3.0</v>
      </c>
      <c r="E341" s="8" t="s">
        <v>395</v>
      </c>
      <c r="F341" s="10">
        <v>0.0</v>
      </c>
      <c r="G341" s="8" t="s">
        <v>370</v>
      </c>
      <c r="H341" s="8" t="s">
        <v>371</v>
      </c>
    </row>
    <row r="342">
      <c r="A342" s="8" t="s">
        <v>278</v>
      </c>
      <c r="B342" s="8" t="s">
        <v>25</v>
      </c>
      <c r="C342" s="8" t="s">
        <v>53</v>
      </c>
      <c r="D342" s="10">
        <v>4.0</v>
      </c>
      <c r="E342" s="8" t="s">
        <v>397</v>
      </c>
      <c r="F342" s="10">
        <v>0.0</v>
      </c>
      <c r="G342" s="8" t="s">
        <v>370</v>
      </c>
      <c r="H342" s="8" t="s">
        <v>371</v>
      </c>
    </row>
    <row r="343">
      <c r="A343" s="8" t="s">
        <v>278</v>
      </c>
      <c r="B343" s="8" t="s">
        <v>25</v>
      </c>
      <c r="C343" s="8" t="s">
        <v>53</v>
      </c>
      <c r="D343" s="10">
        <v>5.0</v>
      </c>
      <c r="E343" s="8" t="s">
        <v>395</v>
      </c>
      <c r="F343" s="10">
        <v>0.0</v>
      </c>
      <c r="G343" s="8" t="s">
        <v>370</v>
      </c>
      <c r="H343" s="8" t="s">
        <v>371</v>
      </c>
    </row>
    <row r="344">
      <c r="A344" s="8" t="s">
        <v>278</v>
      </c>
      <c r="B344" s="8" t="s">
        <v>25</v>
      </c>
      <c r="C344" s="8" t="s">
        <v>53</v>
      </c>
      <c r="D344" s="10">
        <v>6.0</v>
      </c>
      <c r="E344" s="8" t="s">
        <v>395</v>
      </c>
      <c r="F344" s="10">
        <v>0.0</v>
      </c>
      <c r="G344" s="8" t="s">
        <v>370</v>
      </c>
      <c r="H344" s="8" t="s">
        <v>371</v>
      </c>
    </row>
    <row r="345">
      <c r="A345" s="8" t="s">
        <v>280</v>
      </c>
      <c r="B345" s="8" t="s">
        <v>25</v>
      </c>
      <c r="C345" s="8" t="s">
        <v>53</v>
      </c>
      <c r="D345" s="10">
        <v>1.0</v>
      </c>
      <c r="E345" s="8" t="s">
        <v>395</v>
      </c>
      <c r="F345" s="10">
        <v>0.0</v>
      </c>
      <c r="G345" s="8" t="s">
        <v>370</v>
      </c>
      <c r="H345" s="8" t="s">
        <v>371</v>
      </c>
    </row>
    <row r="346">
      <c r="A346" s="8" t="s">
        <v>280</v>
      </c>
      <c r="B346" s="8" t="s">
        <v>25</v>
      </c>
      <c r="C346" s="8" t="s">
        <v>53</v>
      </c>
      <c r="D346" s="10">
        <v>2.0</v>
      </c>
      <c r="E346" s="8" t="s">
        <v>396</v>
      </c>
      <c r="F346" s="10">
        <v>3500.0</v>
      </c>
      <c r="G346" s="8" t="s">
        <v>370</v>
      </c>
      <c r="H346" s="8" t="s">
        <v>371</v>
      </c>
    </row>
    <row r="347">
      <c r="A347" s="8" t="s">
        <v>280</v>
      </c>
      <c r="B347" s="8" t="s">
        <v>25</v>
      </c>
      <c r="C347" s="8" t="s">
        <v>53</v>
      </c>
      <c r="D347" s="10">
        <v>3.0</v>
      </c>
      <c r="E347" s="8" t="s">
        <v>395</v>
      </c>
      <c r="F347" s="10">
        <v>0.0</v>
      </c>
      <c r="G347" s="8" t="s">
        <v>370</v>
      </c>
      <c r="H347" s="8" t="s">
        <v>371</v>
      </c>
    </row>
    <row r="348">
      <c r="A348" s="8" t="s">
        <v>280</v>
      </c>
      <c r="B348" s="8" t="s">
        <v>25</v>
      </c>
      <c r="C348" s="8" t="s">
        <v>53</v>
      </c>
      <c r="D348" s="10">
        <v>4.0</v>
      </c>
      <c r="E348" s="8" t="s">
        <v>397</v>
      </c>
      <c r="F348" s="10">
        <v>0.0</v>
      </c>
      <c r="G348" s="8" t="s">
        <v>370</v>
      </c>
      <c r="H348" s="8" t="s">
        <v>371</v>
      </c>
    </row>
    <row r="349">
      <c r="A349" s="8" t="s">
        <v>280</v>
      </c>
      <c r="B349" s="8" t="s">
        <v>25</v>
      </c>
      <c r="C349" s="8" t="s">
        <v>53</v>
      </c>
      <c r="D349" s="10">
        <v>5.0</v>
      </c>
      <c r="E349" s="8" t="s">
        <v>395</v>
      </c>
      <c r="F349" s="10">
        <v>0.0</v>
      </c>
      <c r="G349" s="8" t="s">
        <v>370</v>
      </c>
      <c r="H349" s="8" t="s">
        <v>371</v>
      </c>
    </row>
    <row r="350">
      <c r="A350" s="8" t="s">
        <v>167</v>
      </c>
      <c r="B350" s="8" t="s">
        <v>25</v>
      </c>
      <c r="C350" s="8" t="s">
        <v>189</v>
      </c>
      <c r="D350" s="10">
        <v>1.0</v>
      </c>
      <c r="E350" s="8" t="s">
        <v>395</v>
      </c>
      <c r="F350" s="10">
        <v>0.0</v>
      </c>
      <c r="G350" s="8" t="s">
        <v>370</v>
      </c>
      <c r="H350" s="8" t="s">
        <v>371</v>
      </c>
    </row>
    <row r="351">
      <c r="A351" s="8" t="s">
        <v>167</v>
      </c>
      <c r="B351" s="8" t="s">
        <v>25</v>
      </c>
      <c r="C351" s="8" t="s">
        <v>189</v>
      </c>
      <c r="D351" s="10">
        <v>2.0</v>
      </c>
      <c r="E351" s="8" t="s">
        <v>397</v>
      </c>
      <c r="F351" s="10">
        <v>3500.0</v>
      </c>
      <c r="G351" s="8" t="s">
        <v>370</v>
      </c>
      <c r="H351" s="8" t="s">
        <v>371</v>
      </c>
    </row>
    <row r="352">
      <c r="A352" s="8" t="s">
        <v>167</v>
      </c>
      <c r="B352" s="8" t="s">
        <v>25</v>
      </c>
      <c r="C352" s="8" t="s">
        <v>189</v>
      </c>
      <c r="D352" s="10">
        <v>3.0</v>
      </c>
      <c r="E352" s="8" t="s">
        <v>396</v>
      </c>
      <c r="F352" s="10">
        <v>0.0</v>
      </c>
      <c r="G352" s="8" t="s">
        <v>370</v>
      </c>
      <c r="H352" s="8" t="s">
        <v>371</v>
      </c>
    </row>
    <row r="353">
      <c r="A353" s="8" t="s">
        <v>167</v>
      </c>
      <c r="B353" s="8" t="s">
        <v>25</v>
      </c>
      <c r="C353" s="8" t="s">
        <v>189</v>
      </c>
      <c r="D353" s="10">
        <v>4.0</v>
      </c>
      <c r="E353" s="8" t="s">
        <v>397</v>
      </c>
      <c r="F353" s="10">
        <v>0.0</v>
      </c>
      <c r="G353" s="8" t="s">
        <v>370</v>
      </c>
      <c r="H353" s="8" t="s">
        <v>371</v>
      </c>
    </row>
    <row r="354">
      <c r="A354" s="8" t="s">
        <v>167</v>
      </c>
      <c r="B354" s="8" t="s">
        <v>25</v>
      </c>
      <c r="C354" s="8" t="s">
        <v>189</v>
      </c>
      <c r="D354" s="10">
        <v>5.0</v>
      </c>
      <c r="E354" s="8" t="s">
        <v>395</v>
      </c>
      <c r="F354" s="10">
        <v>0.0</v>
      </c>
      <c r="G354" s="8" t="s">
        <v>370</v>
      </c>
      <c r="H354" s="8" t="s">
        <v>371</v>
      </c>
    </row>
    <row r="355">
      <c r="A355" s="8" t="s">
        <v>169</v>
      </c>
      <c r="B355" s="8" t="s">
        <v>25</v>
      </c>
      <c r="C355" s="8" t="s">
        <v>52</v>
      </c>
      <c r="D355" s="10">
        <v>1.0</v>
      </c>
      <c r="E355" s="8" t="s">
        <v>395</v>
      </c>
      <c r="F355" s="10">
        <v>0.0</v>
      </c>
      <c r="G355" s="8" t="s">
        <v>370</v>
      </c>
      <c r="H355" s="8" t="s">
        <v>371</v>
      </c>
    </row>
    <row r="356">
      <c r="A356" s="8" t="s">
        <v>169</v>
      </c>
      <c r="B356" s="8" t="s">
        <v>25</v>
      </c>
      <c r="C356" s="8" t="s">
        <v>52</v>
      </c>
      <c r="D356" s="10">
        <v>2.0</v>
      </c>
      <c r="E356" s="8" t="s">
        <v>397</v>
      </c>
      <c r="F356" s="10">
        <v>3500.0</v>
      </c>
      <c r="G356" s="8" t="s">
        <v>370</v>
      </c>
      <c r="H356" s="8" t="s">
        <v>371</v>
      </c>
    </row>
    <row r="357">
      <c r="A357" s="8" t="s">
        <v>169</v>
      </c>
      <c r="B357" s="8" t="s">
        <v>25</v>
      </c>
      <c r="C357" s="8" t="s">
        <v>52</v>
      </c>
      <c r="D357" s="10">
        <v>3.0</v>
      </c>
      <c r="E357" s="8" t="s">
        <v>396</v>
      </c>
      <c r="F357" s="10">
        <v>0.0</v>
      </c>
      <c r="G357" s="8" t="s">
        <v>370</v>
      </c>
      <c r="H357" s="8" t="s">
        <v>371</v>
      </c>
    </row>
    <row r="358">
      <c r="A358" s="8" t="s">
        <v>169</v>
      </c>
      <c r="B358" s="8" t="s">
        <v>25</v>
      </c>
      <c r="C358" s="8" t="s">
        <v>52</v>
      </c>
      <c r="D358" s="10">
        <v>4.0</v>
      </c>
      <c r="E358" s="8" t="s">
        <v>397</v>
      </c>
      <c r="F358" s="10">
        <v>0.0</v>
      </c>
      <c r="G358" s="8" t="s">
        <v>370</v>
      </c>
      <c r="H358" s="8" t="s">
        <v>371</v>
      </c>
    </row>
    <row r="359">
      <c r="A359" s="8" t="s">
        <v>169</v>
      </c>
      <c r="B359" s="8" t="s">
        <v>25</v>
      </c>
      <c r="C359" s="8" t="s">
        <v>52</v>
      </c>
      <c r="D359" s="10">
        <v>5.0</v>
      </c>
      <c r="E359" s="8" t="s">
        <v>395</v>
      </c>
      <c r="F359" s="10">
        <v>0.0</v>
      </c>
      <c r="G359" s="8" t="s">
        <v>370</v>
      </c>
      <c r="H359" s="8" t="s">
        <v>371</v>
      </c>
    </row>
    <row r="360">
      <c r="A360" s="8" t="s">
        <v>169</v>
      </c>
      <c r="B360" s="8" t="s">
        <v>25</v>
      </c>
      <c r="C360" s="8" t="s">
        <v>52</v>
      </c>
      <c r="D360" s="10">
        <v>6.0</v>
      </c>
      <c r="E360" s="8" t="s">
        <v>397</v>
      </c>
      <c r="F360" s="10">
        <v>3500.0</v>
      </c>
      <c r="G360" s="8" t="s">
        <v>370</v>
      </c>
      <c r="H360" s="8" t="s">
        <v>371</v>
      </c>
    </row>
    <row r="361">
      <c r="A361" s="8" t="s">
        <v>169</v>
      </c>
      <c r="B361" s="8" t="s">
        <v>25</v>
      </c>
      <c r="C361" s="8" t="s">
        <v>52</v>
      </c>
      <c r="D361" s="10">
        <v>7.0</v>
      </c>
      <c r="E361" s="8" t="s">
        <v>395</v>
      </c>
      <c r="F361" s="10">
        <v>0.0</v>
      </c>
      <c r="G361" s="8" t="s">
        <v>370</v>
      </c>
      <c r="H361" s="8" t="s">
        <v>371</v>
      </c>
    </row>
    <row r="362">
      <c r="A362" s="8" t="s">
        <v>171</v>
      </c>
      <c r="B362" s="8" t="s">
        <v>25</v>
      </c>
      <c r="C362" s="8" t="s">
        <v>115</v>
      </c>
      <c r="D362" s="10">
        <v>1.0</v>
      </c>
      <c r="E362" s="8" t="s">
        <v>395</v>
      </c>
      <c r="F362" s="10">
        <v>0.0</v>
      </c>
      <c r="G362" s="8" t="s">
        <v>370</v>
      </c>
      <c r="H362" s="8" t="s">
        <v>371</v>
      </c>
    </row>
    <row r="363">
      <c r="A363" s="8" t="s">
        <v>171</v>
      </c>
      <c r="B363" s="8" t="s">
        <v>25</v>
      </c>
      <c r="C363" s="8" t="s">
        <v>115</v>
      </c>
      <c r="D363" s="10">
        <v>2.0</v>
      </c>
      <c r="E363" s="8" t="s">
        <v>397</v>
      </c>
      <c r="F363" s="10">
        <v>0.0</v>
      </c>
      <c r="G363" s="8" t="s">
        <v>370</v>
      </c>
      <c r="H363" s="8" t="s">
        <v>371</v>
      </c>
    </row>
    <row r="364">
      <c r="A364" s="8" t="s">
        <v>171</v>
      </c>
      <c r="B364" s="8" t="s">
        <v>25</v>
      </c>
      <c r="C364" s="8" t="s">
        <v>115</v>
      </c>
      <c r="D364" s="10">
        <v>3.0</v>
      </c>
      <c r="E364" s="8" t="s">
        <v>396</v>
      </c>
      <c r="F364" s="10">
        <v>0.0</v>
      </c>
      <c r="G364" s="8" t="s">
        <v>370</v>
      </c>
      <c r="H364" s="8" t="s">
        <v>371</v>
      </c>
    </row>
    <row r="365">
      <c r="A365" s="8" t="s">
        <v>171</v>
      </c>
      <c r="B365" s="8" t="s">
        <v>25</v>
      </c>
      <c r="C365" s="8" t="s">
        <v>115</v>
      </c>
      <c r="D365" s="10">
        <v>4.0</v>
      </c>
      <c r="E365" s="8" t="s">
        <v>397</v>
      </c>
      <c r="F365" s="10">
        <v>0.0</v>
      </c>
      <c r="G365" s="8" t="s">
        <v>370</v>
      </c>
      <c r="H365" s="8" t="s">
        <v>371</v>
      </c>
    </row>
    <row r="366">
      <c r="A366" s="8" t="s">
        <v>171</v>
      </c>
      <c r="B366" s="8" t="s">
        <v>25</v>
      </c>
      <c r="C366" s="8" t="s">
        <v>115</v>
      </c>
      <c r="D366" s="10">
        <v>5.0</v>
      </c>
      <c r="E366" s="8" t="s">
        <v>395</v>
      </c>
      <c r="F366" s="10">
        <v>3500.0</v>
      </c>
      <c r="G366" s="8" t="s">
        <v>370</v>
      </c>
      <c r="H366" s="8" t="s">
        <v>371</v>
      </c>
    </row>
    <row r="367">
      <c r="A367" s="8" t="s">
        <v>171</v>
      </c>
      <c r="B367" s="8" t="s">
        <v>25</v>
      </c>
      <c r="C367" s="8" t="s">
        <v>115</v>
      </c>
      <c r="D367" s="10">
        <v>6.0</v>
      </c>
      <c r="E367" s="8" t="s">
        <v>397</v>
      </c>
      <c r="F367" s="10">
        <v>3000.0</v>
      </c>
      <c r="G367" s="8" t="s">
        <v>370</v>
      </c>
      <c r="H367" s="8" t="s">
        <v>371</v>
      </c>
    </row>
    <row r="368">
      <c r="A368" s="8" t="s">
        <v>171</v>
      </c>
      <c r="B368" s="8" t="s">
        <v>25</v>
      </c>
      <c r="C368" s="8" t="s">
        <v>115</v>
      </c>
      <c r="D368" s="10">
        <v>7.0</v>
      </c>
      <c r="E368" s="8" t="s">
        <v>395</v>
      </c>
      <c r="F368" s="10">
        <v>3000.0</v>
      </c>
      <c r="G368" s="8" t="s">
        <v>370</v>
      </c>
      <c r="H368" s="8" t="s">
        <v>371</v>
      </c>
    </row>
    <row r="369">
      <c r="A369" s="8" t="s">
        <v>174</v>
      </c>
      <c r="B369" s="8" t="s">
        <v>25</v>
      </c>
      <c r="C369" s="8" t="s">
        <v>52</v>
      </c>
      <c r="D369" s="10">
        <v>1.0</v>
      </c>
      <c r="E369" s="8" t="s">
        <v>395</v>
      </c>
      <c r="F369" s="10">
        <v>0.0</v>
      </c>
      <c r="G369" s="8" t="s">
        <v>370</v>
      </c>
      <c r="H369" s="8" t="s">
        <v>371</v>
      </c>
    </row>
    <row r="370">
      <c r="A370" s="8" t="s">
        <v>174</v>
      </c>
      <c r="B370" s="8" t="s">
        <v>25</v>
      </c>
      <c r="C370" s="8" t="s">
        <v>52</v>
      </c>
      <c r="D370" s="10">
        <v>2.0</v>
      </c>
      <c r="E370" s="8" t="s">
        <v>397</v>
      </c>
      <c r="F370" s="10">
        <v>3500.0</v>
      </c>
      <c r="G370" s="8" t="s">
        <v>370</v>
      </c>
      <c r="H370" s="8" t="s">
        <v>371</v>
      </c>
    </row>
    <row r="371">
      <c r="A371" s="8" t="s">
        <v>174</v>
      </c>
      <c r="B371" s="8" t="s">
        <v>25</v>
      </c>
      <c r="C371" s="8" t="s">
        <v>52</v>
      </c>
      <c r="D371" s="10">
        <v>3.0</v>
      </c>
      <c r="E371" s="8" t="s">
        <v>396</v>
      </c>
      <c r="F371" s="10">
        <v>0.0</v>
      </c>
      <c r="G371" s="8" t="s">
        <v>370</v>
      </c>
      <c r="H371" s="8" t="s">
        <v>371</v>
      </c>
    </row>
    <row r="372">
      <c r="A372" s="8" t="s">
        <v>174</v>
      </c>
      <c r="B372" s="8" t="s">
        <v>25</v>
      </c>
      <c r="C372" s="8" t="s">
        <v>52</v>
      </c>
      <c r="D372" s="10">
        <v>4.0</v>
      </c>
      <c r="E372" s="8" t="s">
        <v>397</v>
      </c>
      <c r="F372" s="10">
        <v>0.0</v>
      </c>
      <c r="G372" s="8" t="s">
        <v>370</v>
      </c>
      <c r="H372" s="8" t="s">
        <v>371</v>
      </c>
    </row>
    <row r="373">
      <c r="A373" s="8" t="s">
        <v>174</v>
      </c>
      <c r="B373" s="8" t="s">
        <v>25</v>
      </c>
      <c r="C373" s="8" t="s">
        <v>52</v>
      </c>
      <c r="D373" s="10">
        <v>5.0</v>
      </c>
      <c r="E373" s="8" t="s">
        <v>395</v>
      </c>
      <c r="F373" s="10">
        <v>0.0</v>
      </c>
      <c r="G373" s="8" t="s">
        <v>370</v>
      </c>
      <c r="H373" s="8" t="s">
        <v>371</v>
      </c>
    </row>
    <row r="374">
      <c r="A374" s="8" t="s">
        <v>177</v>
      </c>
      <c r="B374" s="8" t="s">
        <v>25</v>
      </c>
      <c r="C374" s="8" t="s">
        <v>52</v>
      </c>
      <c r="D374" s="10">
        <v>1.0</v>
      </c>
      <c r="E374" s="8" t="s">
        <v>395</v>
      </c>
      <c r="F374" s="10">
        <v>3500.0</v>
      </c>
      <c r="G374" s="8" t="s">
        <v>370</v>
      </c>
      <c r="H374" s="8" t="s">
        <v>371</v>
      </c>
    </row>
    <row r="375">
      <c r="A375" s="8" t="s">
        <v>177</v>
      </c>
      <c r="B375" s="8" t="s">
        <v>25</v>
      </c>
      <c r="C375" s="8" t="s">
        <v>52</v>
      </c>
      <c r="D375" s="10">
        <v>2.0</v>
      </c>
      <c r="E375" s="8" t="s">
        <v>397</v>
      </c>
      <c r="F375" s="10">
        <v>0.0</v>
      </c>
      <c r="G375" s="8" t="s">
        <v>370</v>
      </c>
      <c r="H375" s="8" t="s">
        <v>371</v>
      </c>
    </row>
    <row r="376">
      <c r="A376" s="8" t="s">
        <v>177</v>
      </c>
      <c r="B376" s="8" t="s">
        <v>25</v>
      </c>
      <c r="C376" s="8" t="s">
        <v>52</v>
      </c>
      <c r="D376" s="10">
        <v>3.0</v>
      </c>
      <c r="E376" s="8" t="s">
        <v>396</v>
      </c>
      <c r="F376" s="10">
        <v>0.0</v>
      </c>
      <c r="G376" s="8" t="s">
        <v>370</v>
      </c>
      <c r="H376" s="8" t="s">
        <v>371</v>
      </c>
    </row>
    <row r="377">
      <c r="A377" s="8" t="s">
        <v>177</v>
      </c>
      <c r="B377" s="8" t="s">
        <v>25</v>
      </c>
      <c r="C377" s="8" t="s">
        <v>52</v>
      </c>
      <c r="D377" s="10">
        <v>4.0</v>
      </c>
      <c r="E377" s="8" t="s">
        <v>397</v>
      </c>
      <c r="F377" s="10">
        <v>0.0</v>
      </c>
      <c r="G377" s="8" t="s">
        <v>370</v>
      </c>
      <c r="H377" s="8" t="s">
        <v>371</v>
      </c>
    </row>
    <row r="378">
      <c r="A378" s="8" t="s">
        <v>177</v>
      </c>
      <c r="B378" s="8" t="s">
        <v>25</v>
      </c>
      <c r="C378" s="8" t="s">
        <v>52</v>
      </c>
      <c r="D378" s="10">
        <v>5.0</v>
      </c>
      <c r="E378" s="8" t="s">
        <v>395</v>
      </c>
      <c r="F378" s="10">
        <v>0.0</v>
      </c>
      <c r="G378" s="8" t="s">
        <v>370</v>
      </c>
      <c r="H378" s="8" t="s">
        <v>371</v>
      </c>
    </row>
    <row r="379">
      <c r="A379" s="8" t="s">
        <v>177</v>
      </c>
      <c r="B379" s="8" t="s">
        <v>25</v>
      </c>
      <c r="C379" s="8" t="s">
        <v>52</v>
      </c>
      <c r="D379" s="10">
        <v>6.0</v>
      </c>
      <c r="E379" s="8" t="s">
        <v>397</v>
      </c>
      <c r="F379" s="10">
        <v>3500.0</v>
      </c>
      <c r="G379" s="8" t="s">
        <v>370</v>
      </c>
      <c r="H379" s="8" t="s">
        <v>371</v>
      </c>
    </row>
    <row r="380">
      <c r="A380" s="8" t="s">
        <v>177</v>
      </c>
      <c r="B380" s="8" t="s">
        <v>25</v>
      </c>
      <c r="C380" s="8" t="s">
        <v>52</v>
      </c>
      <c r="D380" s="10">
        <v>7.0</v>
      </c>
      <c r="E380" s="8" t="s">
        <v>395</v>
      </c>
      <c r="F380" s="10">
        <v>3000.0</v>
      </c>
      <c r="G380" s="8" t="s">
        <v>370</v>
      </c>
      <c r="H380" s="8" t="s">
        <v>371</v>
      </c>
    </row>
    <row r="381">
      <c r="A381" s="8" t="s">
        <v>31</v>
      </c>
      <c r="B381" s="8" t="s">
        <v>25</v>
      </c>
      <c r="C381" s="8" t="s">
        <v>69</v>
      </c>
      <c r="D381" s="10">
        <v>1.0</v>
      </c>
      <c r="E381" s="8" t="s">
        <v>395</v>
      </c>
      <c r="F381" s="10">
        <v>3000.0</v>
      </c>
      <c r="G381" s="8" t="s">
        <v>370</v>
      </c>
      <c r="H381" s="8" t="s">
        <v>371</v>
      </c>
    </row>
    <row r="382">
      <c r="A382" s="8" t="s">
        <v>31</v>
      </c>
      <c r="B382" s="8" t="s">
        <v>25</v>
      </c>
      <c r="C382" s="8" t="s">
        <v>69</v>
      </c>
      <c r="D382" s="10">
        <v>2.0</v>
      </c>
      <c r="E382" s="8" t="s">
        <v>397</v>
      </c>
      <c r="F382" s="10">
        <v>0.0</v>
      </c>
      <c r="G382" s="8" t="s">
        <v>370</v>
      </c>
      <c r="H382" s="8" t="s">
        <v>371</v>
      </c>
    </row>
    <row r="383">
      <c r="A383" s="8" t="s">
        <v>31</v>
      </c>
      <c r="B383" s="8" t="s">
        <v>25</v>
      </c>
      <c r="C383" s="8" t="s">
        <v>69</v>
      </c>
      <c r="D383" s="10">
        <v>3.0</v>
      </c>
      <c r="E383" s="8" t="s">
        <v>398</v>
      </c>
      <c r="F383" s="10">
        <v>8000.0</v>
      </c>
      <c r="G383" s="8" t="s">
        <v>370</v>
      </c>
      <c r="H383" s="8" t="s">
        <v>371</v>
      </c>
    </row>
    <row r="384">
      <c r="A384" s="8" t="s">
        <v>179</v>
      </c>
      <c r="B384" s="8" t="s">
        <v>25</v>
      </c>
      <c r="C384" s="8" t="s">
        <v>115</v>
      </c>
      <c r="D384" s="10">
        <v>1.0</v>
      </c>
      <c r="E384" s="8" t="s">
        <v>395</v>
      </c>
      <c r="F384" s="10">
        <v>0.0</v>
      </c>
      <c r="G384" s="8" t="s">
        <v>370</v>
      </c>
      <c r="H384" s="8" t="s">
        <v>371</v>
      </c>
    </row>
    <row r="385">
      <c r="A385" s="8" t="s">
        <v>179</v>
      </c>
      <c r="B385" s="8" t="s">
        <v>25</v>
      </c>
      <c r="C385" s="8" t="s">
        <v>115</v>
      </c>
      <c r="D385" s="10">
        <v>2.0</v>
      </c>
      <c r="E385" s="8" t="s">
        <v>397</v>
      </c>
      <c r="F385" s="10">
        <v>3500.0</v>
      </c>
      <c r="G385" s="8" t="s">
        <v>370</v>
      </c>
      <c r="H385" s="8" t="s">
        <v>371</v>
      </c>
    </row>
    <row r="386">
      <c r="A386" s="8" t="s">
        <v>179</v>
      </c>
      <c r="B386" s="8" t="s">
        <v>25</v>
      </c>
      <c r="C386" s="8" t="s">
        <v>115</v>
      </c>
      <c r="D386" s="10">
        <v>3.0</v>
      </c>
      <c r="E386" s="8" t="s">
        <v>396</v>
      </c>
      <c r="F386" s="10">
        <v>3000.0</v>
      </c>
      <c r="G386" s="8" t="s">
        <v>370</v>
      </c>
      <c r="H386" s="8" t="s">
        <v>371</v>
      </c>
    </row>
    <row r="387">
      <c r="A387" s="8" t="s">
        <v>179</v>
      </c>
      <c r="B387" s="8" t="s">
        <v>25</v>
      </c>
      <c r="C387" s="8" t="s">
        <v>115</v>
      </c>
      <c r="D387" s="10">
        <v>4.0</v>
      </c>
      <c r="E387" s="8" t="s">
        <v>397</v>
      </c>
      <c r="F387" s="10">
        <v>3000.0</v>
      </c>
      <c r="G387" s="8" t="s">
        <v>370</v>
      </c>
      <c r="H387" s="8" t="s">
        <v>371</v>
      </c>
    </row>
    <row r="388">
      <c r="A388" s="8" t="s">
        <v>179</v>
      </c>
      <c r="B388" s="8" t="s">
        <v>25</v>
      </c>
      <c r="C388" s="8" t="s">
        <v>115</v>
      </c>
      <c r="D388" s="10">
        <v>5.0</v>
      </c>
      <c r="E388" s="8" t="s">
        <v>395</v>
      </c>
      <c r="F388" s="10">
        <v>0.0</v>
      </c>
      <c r="G388" s="8" t="s">
        <v>370</v>
      </c>
      <c r="H388" s="8" t="s">
        <v>371</v>
      </c>
    </row>
    <row r="389">
      <c r="A389" s="8" t="s">
        <v>179</v>
      </c>
      <c r="B389" s="8" t="s">
        <v>25</v>
      </c>
      <c r="C389" s="8" t="s">
        <v>115</v>
      </c>
      <c r="D389" s="10">
        <v>6.0</v>
      </c>
      <c r="E389" s="8" t="s">
        <v>397</v>
      </c>
      <c r="F389" s="10">
        <v>3500.0</v>
      </c>
      <c r="G389" s="8" t="s">
        <v>370</v>
      </c>
      <c r="H389" s="8" t="s">
        <v>371</v>
      </c>
    </row>
    <row r="390">
      <c r="A390" s="8" t="s">
        <v>179</v>
      </c>
      <c r="B390" s="8" t="s">
        <v>25</v>
      </c>
      <c r="C390" s="8" t="s">
        <v>115</v>
      </c>
      <c r="D390" s="10">
        <v>7.0</v>
      </c>
      <c r="E390" s="8" t="s">
        <v>395</v>
      </c>
      <c r="F390" s="10">
        <v>0.0</v>
      </c>
      <c r="G390" s="8" t="s">
        <v>370</v>
      </c>
      <c r="H390" s="8" t="s">
        <v>371</v>
      </c>
    </row>
    <row r="391">
      <c r="A391" s="8" t="s">
        <v>181</v>
      </c>
      <c r="B391" s="8" t="s">
        <v>25</v>
      </c>
      <c r="C391" s="8" t="s">
        <v>53</v>
      </c>
      <c r="D391" s="10">
        <v>1.0</v>
      </c>
      <c r="E391" s="8" t="s">
        <v>395</v>
      </c>
      <c r="F391" s="10">
        <v>0.0</v>
      </c>
      <c r="G391" s="8" t="s">
        <v>370</v>
      </c>
      <c r="H391" s="8" t="s">
        <v>371</v>
      </c>
    </row>
    <row r="392">
      <c r="A392" s="8" t="s">
        <v>181</v>
      </c>
      <c r="B392" s="8" t="s">
        <v>25</v>
      </c>
      <c r="C392" s="8" t="s">
        <v>53</v>
      </c>
      <c r="D392" s="10">
        <v>2.0</v>
      </c>
      <c r="E392" s="8" t="s">
        <v>397</v>
      </c>
      <c r="F392" s="10">
        <v>3500.0</v>
      </c>
      <c r="G392" s="8" t="s">
        <v>370</v>
      </c>
      <c r="H392" s="8" t="s">
        <v>371</v>
      </c>
    </row>
    <row r="393">
      <c r="A393" s="8" t="s">
        <v>181</v>
      </c>
      <c r="B393" s="8" t="s">
        <v>25</v>
      </c>
      <c r="C393" s="8" t="s">
        <v>53</v>
      </c>
      <c r="D393" s="10">
        <v>3.0</v>
      </c>
      <c r="E393" s="8" t="s">
        <v>396</v>
      </c>
      <c r="F393" s="10">
        <v>3000.0</v>
      </c>
      <c r="G393" s="8" t="s">
        <v>370</v>
      </c>
      <c r="H393" s="8" t="s">
        <v>371</v>
      </c>
    </row>
    <row r="394">
      <c r="A394" s="8" t="s">
        <v>181</v>
      </c>
      <c r="B394" s="8" t="s">
        <v>25</v>
      </c>
      <c r="C394" s="8" t="s">
        <v>53</v>
      </c>
      <c r="D394" s="10">
        <v>4.0</v>
      </c>
      <c r="E394" s="8" t="s">
        <v>397</v>
      </c>
      <c r="F394" s="10">
        <v>3000.0</v>
      </c>
      <c r="G394" s="8" t="s">
        <v>370</v>
      </c>
      <c r="H394" s="8" t="s">
        <v>371</v>
      </c>
    </row>
    <row r="395">
      <c r="A395" s="8" t="s">
        <v>181</v>
      </c>
      <c r="B395" s="8" t="s">
        <v>25</v>
      </c>
      <c r="C395" s="8" t="s">
        <v>53</v>
      </c>
      <c r="D395" s="10">
        <v>5.0</v>
      </c>
      <c r="E395" s="8" t="s">
        <v>395</v>
      </c>
      <c r="F395" s="10">
        <v>0.0</v>
      </c>
      <c r="G395" s="8" t="s">
        <v>370</v>
      </c>
      <c r="H395" s="8" t="s">
        <v>371</v>
      </c>
    </row>
    <row r="396">
      <c r="A396" s="8" t="s">
        <v>181</v>
      </c>
      <c r="B396" s="8" t="s">
        <v>25</v>
      </c>
      <c r="C396" s="8" t="s">
        <v>53</v>
      </c>
      <c r="D396" s="10">
        <v>6.0</v>
      </c>
      <c r="E396" s="8" t="s">
        <v>395</v>
      </c>
      <c r="F396" s="10">
        <v>3500.0</v>
      </c>
      <c r="G396" s="8" t="s">
        <v>370</v>
      </c>
      <c r="H396" s="8" t="s">
        <v>371</v>
      </c>
    </row>
    <row r="397">
      <c r="A397" s="8" t="s">
        <v>187</v>
      </c>
      <c r="B397" s="8" t="s">
        <v>25</v>
      </c>
      <c r="C397" s="8" t="s">
        <v>372</v>
      </c>
      <c r="D397" s="10">
        <v>1.0</v>
      </c>
      <c r="E397" s="8" t="s">
        <v>397</v>
      </c>
      <c r="F397" s="10">
        <v>0.0</v>
      </c>
      <c r="G397" s="8" t="s">
        <v>370</v>
      </c>
      <c r="H397" s="8" t="s">
        <v>371</v>
      </c>
    </row>
    <row r="398">
      <c r="A398" s="8" t="s">
        <v>187</v>
      </c>
      <c r="B398" s="8" t="s">
        <v>25</v>
      </c>
      <c r="C398" s="8" t="s">
        <v>372</v>
      </c>
      <c r="D398" s="10">
        <v>2.0</v>
      </c>
      <c r="E398" s="8" t="s">
        <v>396</v>
      </c>
      <c r="F398" s="10">
        <v>3500.0</v>
      </c>
      <c r="G398" s="8" t="s">
        <v>370</v>
      </c>
      <c r="H398" s="8" t="s">
        <v>371</v>
      </c>
    </row>
    <row r="399">
      <c r="A399" s="8" t="s">
        <v>191</v>
      </c>
      <c r="B399" s="8" t="s">
        <v>25</v>
      </c>
      <c r="C399" s="8" t="s">
        <v>373</v>
      </c>
      <c r="D399" s="10">
        <v>1.0</v>
      </c>
      <c r="E399" s="8" t="s">
        <v>397</v>
      </c>
      <c r="F399" s="10">
        <v>3000.0</v>
      </c>
      <c r="G399" s="8" t="s">
        <v>370</v>
      </c>
      <c r="H399" s="8" t="s">
        <v>371</v>
      </c>
    </row>
    <row r="400">
      <c r="A400" s="8" t="s">
        <v>191</v>
      </c>
      <c r="B400" s="8" t="s">
        <v>25</v>
      </c>
      <c r="C400" s="8" t="s">
        <v>373</v>
      </c>
      <c r="D400" s="10">
        <v>2.0</v>
      </c>
      <c r="E400" s="8" t="s">
        <v>396</v>
      </c>
      <c r="F400" s="10">
        <v>3500.0</v>
      </c>
      <c r="G400" s="8" t="s">
        <v>370</v>
      </c>
      <c r="H400" s="8" t="s">
        <v>371</v>
      </c>
    </row>
    <row r="401">
      <c r="A401" s="8" t="s">
        <v>193</v>
      </c>
      <c r="B401" s="8" t="s">
        <v>25</v>
      </c>
      <c r="C401" s="8" t="s">
        <v>53</v>
      </c>
      <c r="D401" s="10">
        <v>1.0</v>
      </c>
      <c r="E401" s="8" t="s">
        <v>397</v>
      </c>
      <c r="F401" s="10">
        <v>0.0</v>
      </c>
      <c r="G401" s="8" t="s">
        <v>370</v>
      </c>
      <c r="H401" s="8" t="s">
        <v>371</v>
      </c>
    </row>
    <row r="402">
      <c r="A402" s="8" t="s">
        <v>193</v>
      </c>
      <c r="B402" s="8" t="s">
        <v>25</v>
      </c>
      <c r="C402" s="8" t="s">
        <v>53</v>
      </c>
      <c r="D402" s="10">
        <v>2.0</v>
      </c>
      <c r="E402" s="8" t="s">
        <v>396</v>
      </c>
      <c r="F402" s="10">
        <v>0.0</v>
      </c>
      <c r="G402" s="8" t="s">
        <v>370</v>
      </c>
      <c r="H402" s="8" t="s">
        <v>371</v>
      </c>
    </row>
    <row r="403">
      <c r="A403" s="8" t="s">
        <v>193</v>
      </c>
      <c r="B403" s="8" t="s">
        <v>25</v>
      </c>
      <c r="C403" s="8" t="s">
        <v>53</v>
      </c>
      <c r="D403" s="10">
        <v>3.0</v>
      </c>
      <c r="E403" s="8" t="s">
        <v>397</v>
      </c>
      <c r="F403" s="10">
        <v>0.0</v>
      </c>
      <c r="G403" s="8" t="s">
        <v>370</v>
      </c>
      <c r="H403" s="8" t="s">
        <v>371</v>
      </c>
    </row>
    <row r="404">
      <c r="A404" s="8" t="s">
        <v>193</v>
      </c>
      <c r="B404" s="8" t="s">
        <v>25</v>
      </c>
      <c r="C404" s="8" t="s">
        <v>53</v>
      </c>
      <c r="D404" s="10">
        <v>4.0</v>
      </c>
      <c r="E404" s="8" t="s">
        <v>401</v>
      </c>
      <c r="F404" s="10">
        <v>0.0</v>
      </c>
      <c r="G404" s="8" t="s">
        <v>370</v>
      </c>
      <c r="H404" s="8" t="s">
        <v>371</v>
      </c>
    </row>
    <row r="405">
      <c r="A405" s="8" t="s">
        <v>193</v>
      </c>
      <c r="B405" s="8" t="s">
        <v>25</v>
      </c>
      <c r="C405" s="8" t="s">
        <v>53</v>
      </c>
      <c r="D405" s="10">
        <v>5.0</v>
      </c>
      <c r="E405" s="8" t="s">
        <v>397</v>
      </c>
      <c r="F405" s="10">
        <v>3500.0</v>
      </c>
      <c r="G405" s="8" t="s">
        <v>370</v>
      </c>
      <c r="H405" s="8" t="s">
        <v>371</v>
      </c>
    </row>
    <row r="406">
      <c r="A406" s="8" t="s">
        <v>193</v>
      </c>
      <c r="B406" s="8" t="s">
        <v>25</v>
      </c>
      <c r="C406" s="8" t="s">
        <v>53</v>
      </c>
      <c r="D406" s="10">
        <v>6.0</v>
      </c>
      <c r="E406" s="8" t="s">
        <v>398</v>
      </c>
      <c r="F406" s="10">
        <v>3000.0</v>
      </c>
      <c r="G406" s="8" t="s">
        <v>370</v>
      </c>
      <c r="H406" s="8" t="s">
        <v>371</v>
      </c>
    </row>
    <row r="407">
      <c r="A407" s="8" t="s">
        <v>195</v>
      </c>
      <c r="B407" s="8" t="s">
        <v>25</v>
      </c>
      <c r="C407" s="8" t="s">
        <v>127</v>
      </c>
      <c r="D407" s="10">
        <v>1.0</v>
      </c>
      <c r="E407" s="8" t="s">
        <v>395</v>
      </c>
      <c r="F407" s="10">
        <v>3500.0</v>
      </c>
      <c r="G407" s="8" t="s">
        <v>370</v>
      </c>
      <c r="H407" s="8" t="s">
        <v>371</v>
      </c>
    </row>
    <row r="408">
      <c r="A408" s="8" t="s">
        <v>195</v>
      </c>
      <c r="B408" s="8" t="s">
        <v>25</v>
      </c>
      <c r="C408" s="8" t="s">
        <v>127</v>
      </c>
      <c r="D408" s="10">
        <v>2.0</v>
      </c>
      <c r="E408" s="8" t="s">
        <v>395</v>
      </c>
      <c r="F408" s="10">
        <v>0.0</v>
      </c>
      <c r="G408" s="8" t="s">
        <v>370</v>
      </c>
      <c r="H408" s="8" t="s">
        <v>371</v>
      </c>
    </row>
    <row r="409">
      <c r="A409" s="8" t="s">
        <v>200</v>
      </c>
      <c r="B409" s="8" t="s">
        <v>25</v>
      </c>
      <c r="C409" s="8" t="s">
        <v>374</v>
      </c>
      <c r="D409" s="10">
        <v>1.0</v>
      </c>
      <c r="E409" s="8" t="s">
        <v>397</v>
      </c>
      <c r="F409" s="10">
        <v>0.0</v>
      </c>
      <c r="G409" s="8" t="s">
        <v>370</v>
      </c>
      <c r="H409" s="8" t="s">
        <v>371</v>
      </c>
    </row>
    <row r="410">
      <c r="A410" s="8" t="s">
        <v>200</v>
      </c>
      <c r="B410" s="8" t="s">
        <v>25</v>
      </c>
      <c r="C410" s="8" t="s">
        <v>374</v>
      </c>
      <c r="D410" s="10">
        <v>2.0</v>
      </c>
      <c r="E410" s="8" t="s">
        <v>396</v>
      </c>
      <c r="F410" s="10">
        <v>0.0</v>
      </c>
      <c r="G410" s="8" t="s">
        <v>370</v>
      </c>
      <c r="H410" s="8" t="s">
        <v>371</v>
      </c>
    </row>
    <row r="411">
      <c r="A411" s="8" t="s">
        <v>297</v>
      </c>
      <c r="B411" s="8" t="s">
        <v>25</v>
      </c>
      <c r="C411" s="8" t="s">
        <v>115</v>
      </c>
      <c r="D411" s="10">
        <v>1.0</v>
      </c>
      <c r="E411" s="8" t="s">
        <v>395</v>
      </c>
      <c r="F411" s="10">
        <v>3500.0</v>
      </c>
      <c r="G411" s="8" t="s">
        <v>370</v>
      </c>
      <c r="H411" s="8" t="s">
        <v>371</v>
      </c>
    </row>
    <row r="412">
      <c r="A412" s="8" t="s">
        <v>297</v>
      </c>
      <c r="B412" s="8" t="s">
        <v>25</v>
      </c>
      <c r="C412" s="8" t="s">
        <v>115</v>
      </c>
      <c r="D412" s="10">
        <v>2.0</v>
      </c>
      <c r="E412" s="8" t="s">
        <v>396</v>
      </c>
      <c r="F412" s="10">
        <v>0.0</v>
      </c>
      <c r="G412" s="8" t="s">
        <v>370</v>
      </c>
      <c r="H412" s="8" t="s">
        <v>371</v>
      </c>
    </row>
    <row r="413">
      <c r="A413" s="8" t="s">
        <v>297</v>
      </c>
      <c r="B413" s="8" t="s">
        <v>25</v>
      </c>
      <c r="C413" s="8" t="s">
        <v>115</v>
      </c>
      <c r="D413" s="10">
        <v>3.0</v>
      </c>
      <c r="E413" s="8" t="s">
        <v>397</v>
      </c>
      <c r="F413" s="10">
        <v>5940.8</v>
      </c>
      <c r="G413" s="8" t="s">
        <v>370</v>
      </c>
      <c r="H413" s="8" t="s">
        <v>371</v>
      </c>
    </row>
    <row r="414">
      <c r="A414" s="8" t="s">
        <v>297</v>
      </c>
      <c r="B414" s="8" t="s">
        <v>25</v>
      </c>
      <c r="C414" s="8" t="s">
        <v>115</v>
      </c>
      <c r="D414" s="10">
        <v>4.0</v>
      </c>
      <c r="E414" s="8" t="s">
        <v>395</v>
      </c>
      <c r="F414" s="10">
        <v>0.0</v>
      </c>
      <c r="G414" s="8" t="s">
        <v>370</v>
      </c>
      <c r="H414" s="8" t="s">
        <v>371</v>
      </c>
    </row>
    <row r="415">
      <c r="A415" s="8" t="s">
        <v>297</v>
      </c>
      <c r="B415" s="8" t="s">
        <v>25</v>
      </c>
      <c r="C415" s="8" t="s">
        <v>115</v>
      </c>
      <c r="D415" s="10">
        <v>5.0</v>
      </c>
      <c r="E415" s="8" t="s">
        <v>395</v>
      </c>
      <c r="F415" s="10">
        <v>3500.0</v>
      </c>
      <c r="G415" s="8" t="s">
        <v>370</v>
      </c>
      <c r="H415" s="8" t="s">
        <v>371</v>
      </c>
    </row>
    <row r="416">
      <c r="A416" s="8" t="s">
        <v>34</v>
      </c>
      <c r="B416" s="8" t="s">
        <v>25</v>
      </c>
      <c r="C416" s="8" t="s">
        <v>115</v>
      </c>
      <c r="D416" s="10">
        <v>1.0</v>
      </c>
      <c r="E416" s="8" t="s">
        <v>397</v>
      </c>
      <c r="F416" s="10">
        <v>0.0</v>
      </c>
      <c r="G416" s="8" t="s">
        <v>370</v>
      </c>
      <c r="H416" s="8" t="s">
        <v>371</v>
      </c>
    </row>
    <row r="417">
      <c r="A417" s="8" t="s">
        <v>34</v>
      </c>
      <c r="B417" s="8" t="s">
        <v>25</v>
      </c>
      <c r="C417" s="8" t="s">
        <v>115</v>
      </c>
      <c r="D417" s="10">
        <v>2.0</v>
      </c>
      <c r="E417" s="8" t="s">
        <v>396</v>
      </c>
      <c r="F417" s="10">
        <v>3500.0</v>
      </c>
      <c r="G417" s="8" t="s">
        <v>370</v>
      </c>
      <c r="H417" s="8" t="s">
        <v>371</v>
      </c>
    </row>
    <row r="418">
      <c r="A418" s="8" t="s">
        <v>34</v>
      </c>
      <c r="B418" s="8" t="s">
        <v>25</v>
      </c>
      <c r="C418" s="8" t="s">
        <v>115</v>
      </c>
      <c r="D418" s="10">
        <v>3.0</v>
      </c>
      <c r="E418" s="8" t="s">
        <v>397</v>
      </c>
      <c r="F418" s="10">
        <v>0.0</v>
      </c>
      <c r="G418" s="8" t="s">
        <v>370</v>
      </c>
      <c r="H418" s="8" t="s">
        <v>371</v>
      </c>
    </row>
    <row r="419">
      <c r="A419" s="8" t="s">
        <v>34</v>
      </c>
      <c r="B419" s="8" t="s">
        <v>25</v>
      </c>
      <c r="C419" s="8" t="s">
        <v>115</v>
      </c>
      <c r="D419" s="10">
        <v>4.0</v>
      </c>
      <c r="E419" s="8" t="s">
        <v>395</v>
      </c>
      <c r="F419" s="10">
        <v>5940.8</v>
      </c>
      <c r="G419" s="8" t="s">
        <v>370</v>
      </c>
      <c r="H419" s="8" t="s">
        <v>371</v>
      </c>
    </row>
    <row r="420">
      <c r="A420" s="8" t="s">
        <v>34</v>
      </c>
      <c r="B420" s="8" t="s">
        <v>25</v>
      </c>
      <c r="C420" s="8" t="s">
        <v>115</v>
      </c>
      <c r="D420" s="10">
        <v>5.0</v>
      </c>
      <c r="E420" s="8" t="s">
        <v>395</v>
      </c>
      <c r="F420" s="10">
        <v>0.0</v>
      </c>
      <c r="G420" s="8" t="s">
        <v>370</v>
      </c>
      <c r="H420" s="8" t="s">
        <v>371</v>
      </c>
    </row>
    <row r="421">
      <c r="A421" s="8" t="s">
        <v>299</v>
      </c>
      <c r="B421" s="8" t="s">
        <v>25</v>
      </c>
      <c r="C421" s="8" t="s">
        <v>127</v>
      </c>
      <c r="D421" s="10">
        <v>1.0</v>
      </c>
      <c r="E421" s="8" t="s">
        <v>395</v>
      </c>
      <c r="F421" s="10">
        <v>3500.0</v>
      </c>
      <c r="G421" s="8" t="s">
        <v>370</v>
      </c>
      <c r="H421" s="8" t="s">
        <v>371</v>
      </c>
    </row>
    <row r="422">
      <c r="A422" s="8" t="s">
        <v>299</v>
      </c>
      <c r="B422" s="8" t="s">
        <v>25</v>
      </c>
      <c r="C422" s="8" t="s">
        <v>127</v>
      </c>
      <c r="D422" s="10">
        <v>2.0</v>
      </c>
      <c r="E422" s="8" t="s">
        <v>396</v>
      </c>
      <c r="F422" s="10">
        <v>0.0</v>
      </c>
      <c r="G422" s="8" t="s">
        <v>370</v>
      </c>
      <c r="H422" s="8" t="s">
        <v>371</v>
      </c>
    </row>
    <row r="423">
      <c r="A423" s="8" t="s">
        <v>299</v>
      </c>
      <c r="B423" s="8" t="s">
        <v>25</v>
      </c>
      <c r="C423" s="8" t="s">
        <v>127</v>
      </c>
      <c r="D423" s="10">
        <v>3.0</v>
      </c>
      <c r="E423" s="8" t="s">
        <v>397</v>
      </c>
      <c r="F423" s="10">
        <v>0.0</v>
      </c>
      <c r="G423" s="8" t="s">
        <v>370</v>
      </c>
      <c r="H423" s="8" t="s">
        <v>371</v>
      </c>
    </row>
    <row r="424">
      <c r="A424" s="8" t="s">
        <v>299</v>
      </c>
      <c r="B424" s="8" t="s">
        <v>25</v>
      </c>
      <c r="C424" s="8" t="s">
        <v>127</v>
      </c>
      <c r="D424" s="10">
        <v>4.0</v>
      </c>
      <c r="E424" s="8" t="s">
        <v>395</v>
      </c>
      <c r="F424" s="10">
        <v>0.0</v>
      </c>
      <c r="G424" s="8" t="s">
        <v>370</v>
      </c>
      <c r="H424" s="8" t="s">
        <v>371</v>
      </c>
    </row>
    <row r="425">
      <c r="A425" s="8" t="s">
        <v>299</v>
      </c>
      <c r="B425" s="8" t="s">
        <v>25</v>
      </c>
      <c r="C425" s="8" t="s">
        <v>127</v>
      </c>
      <c r="D425" s="10">
        <v>5.0</v>
      </c>
      <c r="E425" s="8" t="s">
        <v>395</v>
      </c>
      <c r="F425" s="10">
        <v>3500.0</v>
      </c>
      <c r="G425" s="8" t="s">
        <v>370</v>
      </c>
      <c r="H425" s="8" t="s">
        <v>371</v>
      </c>
    </row>
    <row r="426">
      <c r="A426" s="8" t="s">
        <v>301</v>
      </c>
      <c r="B426" s="8" t="s">
        <v>25</v>
      </c>
      <c r="C426" s="8" t="s">
        <v>115</v>
      </c>
      <c r="D426" s="10">
        <v>1.0</v>
      </c>
      <c r="E426" s="8" t="s">
        <v>395</v>
      </c>
      <c r="F426" s="10">
        <v>0.0</v>
      </c>
      <c r="G426" s="8" t="s">
        <v>370</v>
      </c>
      <c r="H426" s="8" t="s">
        <v>371</v>
      </c>
    </row>
    <row r="427">
      <c r="A427" s="8" t="s">
        <v>301</v>
      </c>
      <c r="B427" s="8" t="s">
        <v>25</v>
      </c>
      <c r="C427" s="8" t="s">
        <v>115</v>
      </c>
      <c r="D427" s="10">
        <v>2.0</v>
      </c>
      <c r="E427" s="8" t="s">
        <v>396</v>
      </c>
      <c r="F427" s="10">
        <v>5940.8</v>
      </c>
      <c r="G427" s="8" t="s">
        <v>370</v>
      </c>
      <c r="H427" s="8" t="s">
        <v>371</v>
      </c>
    </row>
    <row r="428">
      <c r="A428" s="8" t="s">
        <v>301</v>
      </c>
      <c r="B428" s="8" t="s">
        <v>25</v>
      </c>
      <c r="C428" s="8" t="s">
        <v>115</v>
      </c>
      <c r="D428" s="10">
        <v>3.0</v>
      </c>
      <c r="E428" s="8" t="s">
        <v>397</v>
      </c>
      <c r="F428" s="10">
        <v>0.0</v>
      </c>
      <c r="G428" s="8" t="s">
        <v>370</v>
      </c>
      <c r="H428" s="8" t="s">
        <v>371</v>
      </c>
    </row>
    <row r="429">
      <c r="A429" s="8" t="s">
        <v>301</v>
      </c>
      <c r="B429" s="8" t="s">
        <v>25</v>
      </c>
      <c r="C429" s="8" t="s">
        <v>115</v>
      </c>
      <c r="D429" s="10">
        <v>4.0</v>
      </c>
      <c r="E429" s="8" t="s">
        <v>395</v>
      </c>
      <c r="F429" s="10">
        <v>3500.0</v>
      </c>
      <c r="G429" s="8" t="s">
        <v>370</v>
      </c>
      <c r="H429" s="8" t="s">
        <v>371</v>
      </c>
    </row>
    <row r="430">
      <c r="A430" s="8" t="s">
        <v>301</v>
      </c>
      <c r="B430" s="8" t="s">
        <v>25</v>
      </c>
      <c r="C430" s="8" t="s">
        <v>115</v>
      </c>
      <c r="D430" s="10">
        <v>5.0</v>
      </c>
      <c r="E430" s="8" t="s">
        <v>395</v>
      </c>
      <c r="F430" s="10">
        <v>0.0</v>
      </c>
      <c r="G430" s="8" t="s">
        <v>370</v>
      </c>
      <c r="H430" s="8" t="s">
        <v>371</v>
      </c>
    </row>
    <row r="431">
      <c r="A431" s="8" t="s">
        <v>303</v>
      </c>
      <c r="B431" s="8" t="s">
        <v>25</v>
      </c>
      <c r="C431" s="8" t="s">
        <v>127</v>
      </c>
      <c r="D431" s="10">
        <v>1.0</v>
      </c>
      <c r="E431" s="8" t="s">
        <v>395</v>
      </c>
      <c r="F431" s="10">
        <v>0.0</v>
      </c>
      <c r="G431" s="8" t="s">
        <v>370</v>
      </c>
      <c r="H431" s="8" t="s">
        <v>371</v>
      </c>
    </row>
    <row r="432">
      <c r="A432" s="8" t="s">
        <v>303</v>
      </c>
      <c r="B432" s="8" t="s">
        <v>25</v>
      </c>
      <c r="C432" s="8" t="s">
        <v>127</v>
      </c>
      <c r="D432" s="10">
        <v>2.0</v>
      </c>
      <c r="E432" s="8" t="s">
        <v>396</v>
      </c>
      <c r="F432" s="10">
        <v>0.0</v>
      </c>
      <c r="G432" s="8" t="s">
        <v>370</v>
      </c>
      <c r="H432" s="8" t="s">
        <v>371</v>
      </c>
    </row>
    <row r="433">
      <c r="A433" s="8" t="s">
        <v>303</v>
      </c>
      <c r="B433" s="8" t="s">
        <v>25</v>
      </c>
      <c r="C433" s="8" t="s">
        <v>127</v>
      </c>
      <c r="D433" s="10">
        <v>3.0</v>
      </c>
      <c r="E433" s="8" t="s">
        <v>397</v>
      </c>
      <c r="F433" s="10">
        <v>3500.0</v>
      </c>
      <c r="G433" s="8" t="s">
        <v>370</v>
      </c>
      <c r="H433" s="8" t="s">
        <v>371</v>
      </c>
    </row>
    <row r="434">
      <c r="A434" s="8" t="s">
        <v>303</v>
      </c>
      <c r="B434" s="8" t="s">
        <v>25</v>
      </c>
      <c r="C434" s="8" t="s">
        <v>127</v>
      </c>
      <c r="D434" s="10">
        <v>4.0</v>
      </c>
      <c r="E434" s="8" t="s">
        <v>395</v>
      </c>
      <c r="F434" s="10">
        <v>0.0</v>
      </c>
      <c r="G434" s="8" t="s">
        <v>370</v>
      </c>
      <c r="H434" s="8" t="s">
        <v>371</v>
      </c>
    </row>
    <row r="435">
      <c r="A435" s="8" t="s">
        <v>303</v>
      </c>
      <c r="B435" s="8" t="s">
        <v>25</v>
      </c>
      <c r="C435" s="8" t="s">
        <v>127</v>
      </c>
      <c r="D435" s="10">
        <v>5.0</v>
      </c>
      <c r="E435" s="8" t="s">
        <v>395</v>
      </c>
      <c r="F435" s="10">
        <v>5940.8</v>
      </c>
      <c r="G435" s="8" t="s">
        <v>370</v>
      </c>
      <c r="H435" s="8" t="s">
        <v>371</v>
      </c>
    </row>
    <row r="436">
      <c r="A436" s="8" t="s">
        <v>305</v>
      </c>
      <c r="B436" s="8" t="s">
        <v>25</v>
      </c>
      <c r="C436" s="8" t="s">
        <v>69</v>
      </c>
      <c r="D436" s="10">
        <v>1.0</v>
      </c>
      <c r="E436" s="8" t="s">
        <v>395</v>
      </c>
      <c r="F436" s="10">
        <v>0.0</v>
      </c>
      <c r="G436" s="8" t="s">
        <v>370</v>
      </c>
      <c r="H436" s="8" t="s">
        <v>371</v>
      </c>
    </row>
    <row r="437">
      <c r="A437" s="8" t="s">
        <v>305</v>
      </c>
      <c r="B437" s="8" t="s">
        <v>25</v>
      </c>
      <c r="C437" s="8" t="s">
        <v>69</v>
      </c>
      <c r="D437" s="10">
        <v>2.0</v>
      </c>
      <c r="E437" s="8" t="s">
        <v>396</v>
      </c>
      <c r="F437" s="10">
        <v>3500.0</v>
      </c>
      <c r="G437" s="8" t="s">
        <v>370</v>
      </c>
      <c r="H437" s="8" t="s">
        <v>371</v>
      </c>
    </row>
    <row r="438">
      <c r="A438" s="8" t="s">
        <v>305</v>
      </c>
      <c r="B438" s="8" t="s">
        <v>25</v>
      </c>
      <c r="C438" s="8" t="s">
        <v>69</v>
      </c>
      <c r="D438" s="10">
        <v>3.0</v>
      </c>
      <c r="E438" s="8" t="s">
        <v>397</v>
      </c>
      <c r="F438" s="10">
        <v>0.0</v>
      </c>
      <c r="G438" s="8" t="s">
        <v>370</v>
      </c>
      <c r="H438" s="8" t="s">
        <v>371</v>
      </c>
    </row>
    <row r="439">
      <c r="A439" s="8" t="s">
        <v>305</v>
      </c>
      <c r="B439" s="8" t="s">
        <v>25</v>
      </c>
      <c r="C439" s="8" t="s">
        <v>69</v>
      </c>
      <c r="D439" s="10">
        <v>4.0</v>
      </c>
      <c r="E439" s="8" t="s">
        <v>395</v>
      </c>
      <c r="F439" s="10">
        <v>3500.0</v>
      </c>
      <c r="G439" s="8" t="s">
        <v>370</v>
      </c>
      <c r="H439" s="8" t="s">
        <v>371</v>
      </c>
    </row>
    <row r="440">
      <c r="A440" s="8" t="s">
        <v>305</v>
      </c>
      <c r="B440" s="8" t="s">
        <v>25</v>
      </c>
      <c r="C440" s="8" t="s">
        <v>69</v>
      </c>
      <c r="D440" s="10">
        <v>5.0</v>
      </c>
      <c r="E440" s="8" t="s">
        <v>397</v>
      </c>
      <c r="F440" s="10">
        <v>0.0</v>
      </c>
      <c r="G440" s="8" t="s">
        <v>370</v>
      </c>
      <c r="H440" s="8" t="s">
        <v>371</v>
      </c>
    </row>
    <row r="441">
      <c r="A441" s="8" t="s">
        <v>305</v>
      </c>
      <c r="B441" s="8" t="s">
        <v>25</v>
      </c>
      <c r="C441" s="8" t="s">
        <v>69</v>
      </c>
      <c r="D441" s="10">
        <v>6.0</v>
      </c>
      <c r="E441" s="8" t="s">
        <v>398</v>
      </c>
      <c r="F441" s="10">
        <v>5940.8</v>
      </c>
      <c r="G441" s="8" t="s">
        <v>370</v>
      </c>
      <c r="H441" s="8" t="s">
        <v>371</v>
      </c>
    </row>
    <row r="442">
      <c r="A442" s="8" t="s">
        <v>307</v>
      </c>
      <c r="B442" s="8" t="s">
        <v>25</v>
      </c>
      <c r="C442" s="8" t="s">
        <v>310</v>
      </c>
      <c r="D442" s="10">
        <v>1.0</v>
      </c>
      <c r="E442" s="8" t="s">
        <v>395</v>
      </c>
      <c r="F442" s="10">
        <v>0.0</v>
      </c>
      <c r="G442" s="8" t="s">
        <v>370</v>
      </c>
      <c r="H442" s="8" t="s">
        <v>371</v>
      </c>
    </row>
    <row r="443">
      <c r="A443" s="8" t="s">
        <v>307</v>
      </c>
      <c r="B443" s="8" t="s">
        <v>25</v>
      </c>
      <c r="C443" s="8" t="s">
        <v>310</v>
      </c>
      <c r="D443" s="10">
        <v>2.0</v>
      </c>
      <c r="E443" s="8" t="s">
        <v>396</v>
      </c>
      <c r="F443" s="10">
        <v>3500.0</v>
      </c>
      <c r="G443" s="8" t="s">
        <v>370</v>
      </c>
      <c r="H443" s="8" t="s">
        <v>371</v>
      </c>
    </row>
    <row r="444">
      <c r="A444" s="8" t="s">
        <v>307</v>
      </c>
      <c r="B444" s="8" t="s">
        <v>25</v>
      </c>
      <c r="C444" s="8" t="s">
        <v>310</v>
      </c>
      <c r="D444" s="10">
        <v>3.0</v>
      </c>
      <c r="E444" s="8" t="s">
        <v>397</v>
      </c>
      <c r="F444" s="10">
        <v>0.0</v>
      </c>
      <c r="G444" s="8" t="s">
        <v>370</v>
      </c>
      <c r="H444" s="8" t="s">
        <v>371</v>
      </c>
    </row>
    <row r="445">
      <c r="A445" s="8" t="s">
        <v>307</v>
      </c>
      <c r="B445" s="8" t="s">
        <v>25</v>
      </c>
      <c r="C445" s="8" t="s">
        <v>310</v>
      </c>
      <c r="D445" s="10">
        <v>4.0</v>
      </c>
      <c r="E445" s="8" t="s">
        <v>395</v>
      </c>
      <c r="F445" s="10">
        <v>0.0</v>
      </c>
      <c r="G445" s="8" t="s">
        <v>370</v>
      </c>
      <c r="H445" s="8" t="s">
        <v>371</v>
      </c>
    </row>
    <row r="446">
      <c r="A446" s="8" t="s">
        <v>312</v>
      </c>
      <c r="B446" s="8" t="s">
        <v>25</v>
      </c>
      <c r="C446" s="8" t="s">
        <v>375</v>
      </c>
      <c r="D446" s="10">
        <v>1.0</v>
      </c>
      <c r="E446" s="8" t="s">
        <v>395</v>
      </c>
      <c r="F446" s="10">
        <v>0.0</v>
      </c>
      <c r="G446" s="8" t="s">
        <v>370</v>
      </c>
      <c r="H446" s="8" t="s">
        <v>371</v>
      </c>
    </row>
    <row r="447">
      <c r="A447" s="8" t="s">
        <v>312</v>
      </c>
      <c r="B447" s="8" t="s">
        <v>25</v>
      </c>
      <c r="C447" s="8" t="s">
        <v>375</v>
      </c>
      <c r="D447" s="10">
        <v>2.0</v>
      </c>
      <c r="E447" s="8" t="s">
        <v>396</v>
      </c>
      <c r="F447" s="10">
        <v>3500.0</v>
      </c>
      <c r="G447" s="8" t="s">
        <v>370</v>
      </c>
      <c r="H447" s="8" t="s">
        <v>371</v>
      </c>
    </row>
    <row r="448">
      <c r="A448" s="8" t="s">
        <v>312</v>
      </c>
      <c r="B448" s="8" t="s">
        <v>25</v>
      </c>
      <c r="C448" s="8" t="s">
        <v>375</v>
      </c>
      <c r="D448" s="10">
        <v>3.0</v>
      </c>
      <c r="E448" s="8" t="s">
        <v>397</v>
      </c>
      <c r="F448" s="10">
        <v>0.0</v>
      </c>
      <c r="G448" s="8" t="s">
        <v>370</v>
      </c>
      <c r="H448" s="8" t="s">
        <v>371</v>
      </c>
    </row>
    <row r="449">
      <c r="A449" s="8" t="s">
        <v>205</v>
      </c>
      <c r="B449" s="8" t="s">
        <v>25</v>
      </c>
      <c r="C449" s="8" t="s">
        <v>115</v>
      </c>
      <c r="D449" s="10">
        <v>1.0</v>
      </c>
      <c r="E449" s="8" t="s">
        <v>395</v>
      </c>
      <c r="F449" s="10">
        <v>7000.0</v>
      </c>
      <c r="G449" s="8" t="s">
        <v>370</v>
      </c>
      <c r="H449" s="8" t="s">
        <v>371</v>
      </c>
    </row>
    <row r="450">
      <c r="A450" s="8" t="s">
        <v>205</v>
      </c>
      <c r="B450" s="8" t="s">
        <v>25</v>
      </c>
      <c r="C450" s="8" t="s">
        <v>115</v>
      </c>
      <c r="D450" s="10">
        <v>2.0</v>
      </c>
      <c r="E450" s="8" t="s">
        <v>396</v>
      </c>
      <c r="F450" s="10">
        <v>0.0</v>
      </c>
      <c r="G450" s="8" t="s">
        <v>370</v>
      </c>
      <c r="H450" s="8" t="s">
        <v>371</v>
      </c>
    </row>
    <row r="451">
      <c r="A451" s="8" t="s">
        <v>205</v>
      </c>
      <c r="B451" s="8" t="s">
        <v>25</v>
      </c>
      <c r="C451" s="8" t="s">
        <v>115</v>
      </c>
      <c r="D451" s="10">
        <v>3.0</v>
      </c>
      <c r="E451" s="8" t="s">
        <v>397</v>
      </c>
      <c r="F451" s="10">
        <v>3500.0</v>
      </c>
      <c r="G451" s="8" t="s">
        <v>370</v>
      </c>
      <c r="H451" s="8" t="s">
        <v>371</v>
      </c>
    </row>
    <row r="452">
      <c r="A452" s="8" t="s">
        <v>205</v>
      </c>
      <c r="B452" s="8" t="s">
        <v>25</v>
      </c>
      <c r="C452" s="8" t="s">
        <v>115</v>
      </c>
      <c r="D452" s="10">
        <v>4.0</v>
      </c>
      <c r="E452" s="8" t="s">
        <v>395</v>
      </c>
      <c r="F452" s="10">
        <v>0.0</v>
      </c>
      <c r="G452" s="8" t="s">
        <v>370</v>
      </c>
      <c r="H452" s="8" t="s">
        <v>371</v>
      </c>
    </row>
    <row r="453">
      <c r="A453" s="8" t="s">
        <v>205</v>
      </c>
      <c r="B453" s="8" t="s">
        <v>25</v>
      </c>
      <c r="C453" s="8" t="s">
        <v>115</v>
      </c>
      <c r="D453" s="10">
        <v>5.0</v>
      </c>
      <c r="E453" s="8" t="s">
        <v>395</v>
      </c>
      <c r="F453" s="10">
        <v>5940.8</v>
      </c>
      <c r="G453" s="8" t="s">
        <v>370</v>
      </c>
      <c r="H453" s="8" t="s">
        <v>371</v>
      </c>
    </row>
    <row r="454">
      <c r="A454" s="8" t="s">
        <v>315</v>
      </c>
      <c r="B454" s="8" t="s">
        <v>25</v>
      </c>
      <c r="C454" s="8" t="s">
        <v>127</v>
      </c>
      <c r="D454" s="10">
        <v>1.0</v>
      </c>
      <c r="E454" s="8" t="s">
        <v>395</v>
      </c>
      <c r="F454" s="10">
        <v>0.0</v>
      </c>
      <c r="G454" s="8" t="s">
        <v>370</v>
      </c>
      <c r="H454" s="8" t="s">
        <v>371</v>
      </c>
    </row>
    <row r="455">
      <c r="A455" s="8" t="s">
        <v>315</v>
      </c>
      <c r="B455" s="8" t="s">
        <v>25</v>
      </c>
      <c r="C455" s="8" t="s">
        <v>127</v>
      </c>
      <c r="D455" s="10">
        <v>2.0</v>
      </c>
      <c r="E455" s="8" t="s">
        <v>396</v>
      </c>
      <c r="F455" s="10">
        <v>3500.0</v>
      </c>
      <c r="G455" s="8" t="s">
        <v>370</v>
      </c>
      <c r="H455" s="8" t="s">
        <v>371</v>
      </c>
    </row>
    <row r="456">
      <c r="A456" s="8" t="s">
        <v>315</v>
      </c>
      <c r="B456" s="8" t="s">
        <v>25</v>
      </c>
      <c r="C456" s="8" t="s">
        <v>127</v>
      </c>
      <c r="D456" s="10">
        <v>3.0</v>
      </c>
      <c r="E456" s="8" t="s">
        <v>397</v>
      </c>
      <c r="F456" s="10">
        <v>0.0</v>
      </c>
      <c r="G456" s="8" t="s">
        <v>370</v>
      </c>
      <c r="H456" s="8" t="s">
        <v>371</v>
      </c>
    </row>
    <row r="457">
      <c r="A457" s="8" t="s">
        <v>315</v>
      </c>
      <c r="B457" s="8" t="s">
        <v>25</v>
      </c>
      <c r="C457" s="8" t="s">
        <v>127</v>
      </c>
      <c r="D457" s="10">
        <v>4.0</v>
      </c>
      <c r="E457" s="8" t="s">
        <v>395</v>
      </c>
      <c r="F457" s="10">
        <v>0.0</v>
      </c>
      <c r="G457" s="8" t="s">
        <v>370</v>
      </c>
      <c r="H457" s="8" t="s">
        <v>371</v>
      </c>
    </row>
    <row r="458">
      <c r="A458" s="8" t="s">
        <v>315</v>
      </c>
      <c r="B458" s="8" t="s">
        <v>25</v>
      </c>
      <c r="C458" s="8" t="s">
        <v>127</v>
      </c>
      <c r="D458" s="10">
        <v>5.0</v>
      </c>
      <c r="E458" s="8" t="s">
        <v>395</v>
      </c>
      <c r="F458" s="10">
        <v>0.0</v>
      </c>
      <c r="G458" s="8" t="s">
        <v>370</v>
      </c>
      <c r="H458" s="8" t="s">
        <v>371</v>
      </c>
    </row>
    <row r="459">
      <c r="A459" s="8" t="s">
        <v>317</v>
      </c>
      <c r="B459" s="8" t="s">
        <v>25</v>
      </c>
      <c r="C459" s="8" t="s">
        <v>115</v>
      </c>
      <c r="D459" s="10">
        <v>1.0</v>
      </c>
      <c r="E459" s="8" t="s">
        <v>395</v>
      </c>
      <c r="F459" s="10">
        <v>3500.0</v>
      </c>
      <c r="G459" s="8" t="s">
        <v>370</v>
      </c>
      <c r="H459" s="8" t="s">
        <v>371</v>
      </c>
    </row>
    <row r="460">
      <c r="A460" s="8" t="s">
        <v>317</v>
      </c>
      <c r="B460" s="8" t="s">
        <v>25</v>
      </c>
      <c r="C460" s="8" t="s">
        <v>115</v>
      </c>
      <c r="D460" s="10">
        <v>2.0</v>
      </c>
      <c r="E460" s="8" t="s">
        <v>396</v>
      </c>
      <c r="F460" s="10">
        <v>0.0</v>
      </c>
      <c r="G460" s="8" t="s">
        <v>370</v>
      </c>
      <c r="H460" s="8" t="s">
        <v>371</v>
      </c>
    </row>
    <row r="461">
      <c r="A461" s="8" t="s">
        <v>317</v>
      </c>
      <c r="B461" s="8" t="s">
        <v>25</v>
      </c>
      <c r="C461" s="8" t="s">
        <v>115</v>
      </c>
      <c r="D461" s="10">
        <v>3.0</v>
      </c>
      <c r="E461" s="8" t="s">
        <v>397</v>
      </c>
      <c r="F461" s="10">
        <v>5940.8</v>
      </c>
      <c r="G461" s="8" t="s">
        <v>370</v>
      </c>
      <c r="H461" s="8" t="s">
        <v>371</v>
      </c>
    </row>
    <row r="462">
      <c r="A462" s="8" t="s">
        <v>317</v>
      </c>
      <c r="B462" s="8" t="s">
        <v>25</v>
      </c>
      <c r="C462" s="8" t="s">
        <v>115</v>
      </c>
      <c r="D462" s="10">
        <v>4.0</v>
      </c>
      <c r="E462" s="8" t="s">
        <v>395</v>
      </c>
      <c r="F462" s="10">
        <v>0.0</v>
      </c>
      <c r="G462" s="8" t="s">
        <v>370</v>
      </c>
      <c r="H462" s="8" t="s">
        <v>371</v>
      </c>
    </row>
    <row r="463">
      <c r="A463" s="8" t="s">
        <v>317</v>
      </c>
      <c r="B463" s="8" t="s">
        <v>25</v>
      </c>
      <c r="C463" s="8" t="s">
        <v>115</v>
      </c>
      <c r="D463" s="10">
        <v>5.0</v>
      </c>
      <c r="E463" s="8" t="s">
        <v>395</v>
      </c>
      <c r="F463" s="10">
        <v>3500.0</v>
      </c>
      <c r="G463" s="8" t="s">
        <v>370</v>
      </c>
      <c r="H463" s="8" t="s">
        <v>371</v>
      </c>
    </row>
    <row r="464">
      <c r="A464" s="8" t="s">
        <v>319</v>
      </c>
      <c r="B464" s="8" t="s">
        <v>25</v>
      </c>
      <c r="C464" s="8" t="s">
        <v>127</v>
      </c>
      <c r="D464" s="10">
        <v>1.0</v>
      </c>
      <c r="E464" s="8" t="s">
        <v>395</v>
      </c>
      <c r="F464" s="10">
        <v>0.0</v>
      </c>
      <c r="G464" s="8" t="s">
        <v>370</v>
      </c>
      <c r="H464" s="8" t="s">
        <v>371</v>
      </c>
    </row>
    <row r="465">
      <c r="A465" s="8" t="s">
        <v>319</v>
      </c>
      <c r="B465" s="8" t="s">
        <v>25</v>
      </c>
      <c r="C465" s="8" t="s">
        <v>127</v>
      </c>
      <c r="D465" s="10">
        <v>2.0</v>
      </c>
      <c r="E465" s="8" t="s">
        <v>396</v>
      </c>
      <c r="F465" s="10">
        <v>0.0</v>
      </c>
      <c r="G465" s="8" t="s">
        <v>370</v>
      </c>
      <c r="H465" s="8" t="s">
        <v>371</v>
      </c>
    </row>
    <row r="466">
      <c r="A466" s="8" t="s">
        <v>319</v>
      </c>
      <c r="B466" s="8" t="s">
        <v>25</v>
      </c>
      <c r="C466" s="8" t="s">
        <v>127</v>
      </c>
      <c r="D466" s="10">
        <v>3.0</v>
      </c>
      <c r="E466" s="8" t="s">
        <v>397</v>
      </c>
      <c r="F466" s="10">
        <v>0.0</v>
      </c>
      <c r="G466" s="8" t="s">
        <v>370</v>
      </c>
      <c r="H466" s="8" t="s">
        <v>371</v>
      </c>
    </row>
    <row r="467">
      <c r="A467" s="8" t="s">
        <v>319</v>
      </c>
      <c r="B467" s="8" t="s">
        <v>25</v>
      </c>
      <c r="C467" s="8" t="s">
        <v>127</v>
      </c>
      <c r="D467" s="10">
        <v>4.0</v>
      </c>
      <c r="E467" s="8" t="s">
        <v>395</v>
      </c>
      <c r="F467" s="10">
        <v>3000.0</v>
      </c>
      <c r="G467" s="8" t="s">
        <v>370</v>
      </c>
      <c r="H467" s="8" t="s">
        <v>371</v>
      </c>
    </row>
    <row r="468">
      <c r="A468" s="8" t="s">
        <v>319</v>
      </c>
      <c r="B468" s="8" t="s">
        <v>25</v>
      </c>
      <c r="C468" s="8" t="s">
        <v>127</v>
      </c>
      <c r="D468" s="10">
        <v>5.0</v>
      </c>
      <c r="E468" s="8" t="s">
        <v>395</v>
      </c>
      <c r="F468" s="10">
        <v>0.0</v>
      </c>
      <c r="G468" s="8" t="s">
        <v>370</v>
      </c>
      <c r="H468" s="8" t="s">
        <v>371</v>
      </c>
    </row>
    <row r="469">
      <c r="A469" s="8" t="s">
        <v>109</v>
      </c>
      <c r="B469" s="8" t="s">
        <v>25</v>
      </c>
      <c r="C469" s="8" t="s">
        <v>127</v>
      </c>
      <c r="D469" s="10">
        <v>1.0</v>
      </c>
      <c r="E469" s="8" t="s">
        <v>397</v>
      </c>
      <c r="F469" s="10">
        <v>3000.0</v>
      </c>
      <c r="G469" s="8" t="s">
        <v>370</v>
      </c>
      <c r="H469" s="8" t="s">
        <v>371</v>
      </c>
    </row>
    <row r="470">
      <c r="A470" s="8" t="s">
        <v>109</v>
      </c>
      <c r="B470" s="8" t="s">
        <v>25</v>
      </c>
      <c r="C470" s="8" t="s">
        <v>127</v>
      </c>
      <c r="D470" s="10">
        <v>2.0</v>
      </c>
      <c r="E470" s="8" t="s">
        <v>396</v>
      </c>
      <c r="F470" s="10">
        <v>0.0</v>
      </c>
      <c r="G470" s="8" t="s">
        <v>370</v>
      </c>
      <c r="H470" s="8" t="s">
        <v>371</v>
      </c>
    </row>
    <row r="471">
      <c r="A471" s="8" t="s">
        <v>109</v>
      </c>
      <c r="B471" s="8" t="s">
        <v>25</v>
      </c>
      <c r="C471" s="8" t="s">
        <v>127</v>
      </c>
      <c r="D471" s="10">
        <v>3.0</v>
      </c>
      <c r="E471" s="8" t="s">
        <v>397</v>
      </c>
      <c r="F471" s="10">
        <v>3000.0</v>
      </c>
      <c r="G471" s="8" t="s">
        <v>370</v>
      </c>
      <c r="H471" s="8" t="s">
        <v>371</v>
      </c>
    </row>
    <row r="472">
      <c r="A472" s="8" t="s">
        <v>109</v>
      </c>
      <c r="B472" s="8" t="s">
        <v>25</v>
      </c>
      <c r="C472" s="8" t="s">
        <v>127</v>
      </c>
      <c r="D472" s="10">
        <v>4.0</v>
      </c>
      <c r="E472" s="8" t="s">
        <v>395</v>
      </c>
      <c r="F472" s="10">
        <v>0.0</v>
      </c>
      <c r="G472" s="8" t="s">
        <v>370</v>
      </c>
      <c r="H472" s="8" t="s">
        <v>371</v>
      </c>
    </row>
    <row r="473">
      <c r="A473" s="8" t="s">
        <v>109</v>
      </c>
      <c r="B473" s="8" t="s">
        <v>25</v>
      </c>
      <c r="C473" s="8" t="s">
        <v>127</v>
      </c>
      <c r="D473" s="10">
        <v>5.0</v>
      </c>
      <c r="E473" s="8" t="s">
        <v>395</v>
      </c>
      <c r="F473" s="10">
        <v>10000.0</v>
      </c>
      <c r="G473" s="8" t="s">
        <v>370</v>
      </c>
      <c r="H473" s="8" t="s">
        <v>371</v>
      </c>
    </row>
    <row r="474">
      <c r="A474" s="8" t="s">
        <v>322</v>
      </c>
      <c r="B474" s="8" t="s">
        <v>25</v>
      </c>
      <c r="C474" s="8" t="s">
        <v>69</v>
      </c>
      <c r="D474" s="10">
        <v>1.0</v>
      </c>
      <c r="E474" s="8" t="s">
        <v>395</v>
      </c>
      <c r="F474" s="10">
        <v>0.0</v>
      </c>
      <c r="G474" s="8" t="s">
        <v>370</v>
      </c>
      <c r="H474" s="8" t="s">
        <v>371</v>
      </c>
    </row>
    <row r="475">
      <c r="A475" s="8" t="s">
        <v>322</v>
      </c>
      <c r="B475" s="8" t="s">
        <v>25</v>
      </c>
      <c r="C475" s="8" t="s">
        <v>69</v>
      </c>
      <c r="D475" s="10">
        <v>2.0</v>
      </c>
      <c r="E475" s="8" t="s">
        <v>396</v>
      </c>
      <c r="F475" s="10">
        <v>8000.0</v>
      </c>
      <c r="G475" s="8" t="s">
        <v>370</v>
      </c>
      <c r="H475" s="8" t="s">
        <v>371</v>
      </c>
    </row>
    <row r="476">
      <c r="A476" s="8" t="s">
        <v>322</v>
      </c>
      <c r="B476" s="8" t="s">
        <v>25</v>
      </c>
      <c r="C476" s="8" t="s">
        <v>69</v>
      </c>
      <c r="D476" s="10">
        <v>3.0</v>
      </c>
      <c r="E476" s="8" t="s">
        <v>397</v>
      </c>
      <c r="F476" s="10">
        <v>0.0</v>
      </c>
      <c r="G476" s="8" t="s">
        <v>370</v>
      </c>
      <c r="H476" s="8" t="s">
        <v>371</v>
      </c>
    </row>
    <row r="477">
      <c r="A477" s="8" t="s">
        <v>322</v>
      </c>
      <c r="B477" s="8" t="s">
        <v>25</v>
      </c>
      <c r="C477" s="8" t="s">
        <v>69</v>
      </c>
      <c r="D477" s="10">
        <v>4.0</v>
      </c>
      <c r="E477" s="8" t="s">
        <v>395</v>
      </c>
      <c r="F477" s="10">
        <v>3500.0</v>
      </c>
      <c r="G477" s="8" t="s">
        <v>370</v>
      </c>
      <c r="H477" s="8" t="s">
        <v>371</v>
      </c>
    </row>
    <row r="478">
      <c r="A478" s="8" t="s">
        <v>322</v>
      </c>
      <c r="B478" s="8" t="s">
        <v>25</v>
      </c>
      <c r="C478" s="8" t="s">
        <v>69</v>
      </c>
      <c r="D478" s="10">
        <v>5.0</v>
      </c>
      <c r="E478" s="8" t="s">
        <v>397</v>
      </c>
      <c r="F478" s="10">
        <v>0.0</v>
      </c>
      <c r="G478" s="8" t="s">
        <v>370</v>
      </c>
      <c r="H478" s="8" t="s">
        <v>371</v>
      </c>
    </row>
    <row r="479">
      <c r="A479" s="8" t="s">
        <v>322</v>
      </c>
      <c r="B479" s="8" t="s">
        <v>25</v>
      </c>
      <c r="C479" s="8" t="s">
        <v>69</v>
      </c>
      <c r="D479" s="10">
        <v>6.0</v>
      </c>
      <c r="E479" s="8" t="s">
        <v>398</v>
      </c>
      <c r="F479" s="10">
        <v>0.0</v>
      </c>
      <c r="G479" s="8" t="s">
        <v>370</v>
      </c>
      <c r="H479" s="8" t="s">
        <v>371</v>
      </c>
    </row>
    <row r="480">
      <c r="A480" s="8" t="s">
        <v>325</v>
      </c>
      <c r="B480" s="8" t="s">
        <v>25</v>
      </c>
      <c r="C480" s="8" t="s">
        <v>310</v>
      </c>
      <c r="D480" s="10">
        <v>1.0</v>
      </c>
      <c r="E480" s="8" t="s">
        <v>395</v>
      </c>
      <c r="F480" s="10">
        <v>0.0</v>
      </c>
      <c r="G480" s="8" t="s">
        <v>370</v>
      </c>
      <c r="H480" s="8" t="s">
        <v>371</v>
      </c>
    </row>
    <row r="481">
      <c r="A481" s="8" t="s">
        <v>325</v>
      </c>
      <c r="B481" s="8" t="s">
        <v>25</v>
      </c>
      <c r="C481" s="8" t="s">
        <v>310</v>
      </c>
      <c r="D481" s="10">
        <v>2.0</v>
      </c>
      <c r="E481" s="8" t="s">
        <v>396</v>
      </c>
      <c r="F481" s="10">
        <v>4000.0</v>
      </c>
      <c r="G481" s="8" t="s">
        <v>370</v>
      </c>
      <c r="H481" s="8" t="s">
        <v>371</v>
      </c>
    </row>
    <row r="482">
      <c r="A482" s="8" t="s">
        <v>325</v>
      </c>
      <c r="B482" s="8" t="s">
        <v>25</v>
      </c>
      <c r="C482" s="8" t="s">
        <v>310</v>
      </c>
      <c r="D482" s="10">
        <v>3.0</v>
      </c>
      <c r="E482" s="8" t="s">
        <v>397</v>
      </c>
      <c r="F482" s="10">
        <v>3500.0</v>
      </c>
      <c r="G482" s="8" t="s">
        <v>370</v>
      </c>
      <c r="H482" s="8" t="s">
        <v>371</v>
      </c>
    </row>
    <row r="483">
      <c r="A483" s="8" t="s">
        <v>325</v>
      </c>
      <c r="B483" s="8" t="s">
        <v>25</v>
      </c>
      <c r="C483" s="8" t="s">
        <v>310</v>
      </c>
      <c r="D483" s="10">
        <v>4.0</v>
      </c>
      <c r="E483" s="8" t="s">
        <v>395</v>
      </c>
      <c r="F483" s="10">
        <v>3000.0</v>
      </c>
      <c r="G483" s="8" t="s">
        <v>370</v>
      </c>
      <c r="H483" s="8" t="s">
        <v>371</v>
      </c>
    </row>
    <row r="484">
      <c r="A484" s="8" t="s">
        <v>327</v>
      </c>
      <c r="B484" s="8" t="s">
        <v>25</v>
      </c>
      <c r="C484" s="8" t="s">
        <v>375</v>
      </c>
      <c r="D484" s="10">
        <v>1.0</v>
      </c>
      <c r="E484" s="8" t="s">
        <v>395</v>
      </c>
      <c r="F484" s="10">
        <v>0.0</v>
      </c>
      <c r="G484" s="8" t="s">
        <v>370</v>
      </c>
      <c r="H484" s="8" t="s">
        <v>371</v>
      </c>
    </row>
    <row r="485">
      <c r="A485" s="8" t="s">
        <v>327</v>
      </c>
      <c r="B485" s="8" t="s">
        <v>25</v>
      </c>
      <c r="C485" s="8" t="s">
        <v>375</v>
      </c>
      <c r="D485" s="10">
        <v>2.0</v>
      </c>
      <c r="E485" s="8" t="s">
        <v>396</v>
      </c>
      <c r="F485" s="10">
        <v>3500.0</v>
      </c>
      <c r="G485" s="8" t="s">
        <v>370</v>
      </c>
      <c r="H485" s="8" t="s">
        <v>371</v>
      </c>
    </row>
    <row r="486">
      <c r="A486" s="8" t="s">
        <v>327</v>
      </c>
      <c r="B486" s="8" t="s">
        <v>25</v>
      </c>
      <c r="C486" s="8" t="s">
        <v>375</v>
      </c>
      <c r="D486" s="10">
        <v>3.0</v>
      </c>
      <c r="E486" s="8" t="s">
        <v>397</v>
      </c>
      <c r="F486" s="10">
        <v>0.0</v>
      </c>
      <c r="G486" s="8" t="s">
        <v>370</v>
      </c>
      <c r="H486" s="8" t="s">
        <v>371</v>
      </c>
    </row>
    <row r="487">
      <c r="F487" s="10">
        <v>0.0</v>
      </c>
      <c r="G487" s="8" t="s">
        <v>370</v>
      </c>
      <c r="H487" s="8" t="s">
        <v>371</v>
      </c>
    </row>
    <row r="488">
      <c r="F488" s="10">
        <v>0.0</v>
      </c>
      <c r="G488" s="8" t="s">
        <v>370</v>
      </c>
      <c r="H488" s="8" t="s">
        <v>371</v>
      </c>
    </row>
    <row r="489">
      <c r="F489" s="10">
        <v>3000.0</v>
      </c>
      <c r="G489" s="8" t="s">
        <v>370</v>
      </c>
      <c r="H489" s="8" t="s">
        <v>371</v>
      </c>
    </row>
    <row r="490">
      <c r="F490" s="10">
        <v>0.0</v>
      </c>
      <c r="G490" s="8" t="s">
        <v>370</v>
      </c>
      <c r="H490" s="8" t="s">
        <v>371</v>
      </c>
    </row>
    <row r="491">
      <c r="F491" s="10">
        <v>3500.0</v>
      </c>
      <c r="G491" s="8" t="s">
        <v>370</v>
      </c>
      <c r="H491" s="8" t="s">
        <v>371</v>
      </c>
    </row>
    <row r="492">
      <c r="F492" s="10">
        <v>0.0</v>
      </c>
      <c r="G492" s="8" t="s">
        <v>370</v>
      </c>
      <c r="H492" s="8" t="s">
        <v>371</v>
      </c>
    </row>
    <row r="493">
      <c r="F493" s="10">
        <v>0.0</v>
      </c>
      <c r="G493" s="8" t="s">
        <v>370</v>
      </c>
      <c r="H493" s="8" t="s">
        <v>371</v>
      </c>
    </row>
    <row r="494">
      <c r="F494" s="10">
        <v>3500.0</v>
      </c>
      <c r="G494" s="8" t="s">
        <v>370</v>
      </c>
      <c r="H494" s="8" t="s">
        <v>371</v>
      </c>
    </row>
    <row r="495">
      <c r="F495" s="10">
        <v>3000.0</v>
      </c>
      <c r="G495" s="8" t="s">
        <v>370</v>
      </c>
      <c r="H495" s="8" t="s">
        <v>371</v>
      </c>
    </row>
    <row r="496">
      <c r="F496" s="10">
        <v>0.0</v>
      </c>
      <c r="G496" s="8" t="s">
        <v>370</v>
      </c>
      <c r="H496" s="8" t="s">
        <v>371</v>
      </c>
    </row>
    <row r="497">
      <c r="F497" s="10">
        <v>3500.0</v>
      </c>
      <c r="G497" s="8" t="s">
        <v>370</v>
      </c>
      <c r="H497" s="8" t="s">
        <v>371</v>
      </c>
    </row>
    <row r="498">
      <c r="F498" s="10">
        <v>0.0</v>
      </c>
      <c r="G498" s="8" t="s">
        <v>370</v>
      </c>
      <c r="H498" s="8" t="s">
        <v>371</v>
      </c>
    </row>
    <row r="499">
      <c r="F499" s="10">
        <v>0.0</v>
      </c>
      <c r="G499" s="8" t="s">
        <v>370</v>
      </c>
      <c r="H499" s="8" t="s">
        <v>371</v>
      </c>
    </row>
    <row r="500">
      <c r="F500" s="10">
        <v>3500.0</v>
      </c>
      <c r="G500" s="8" t="s">
        <v>370</v>
      </c>
      <c r="H500" s="8" t="s">
        <v>371</v>
      </c>
    </row>
    <row r="501">
      <c r="F501" s="10">
        <v>3000.0</v>
      </c>
      <c r="G501" s="8" t="s">
        <v>370</v>
      </c>
      <c r="H501" s="8" t="s">
        <v>371</v>
      </c>
    </row>
    <row r="502">
      <c r="F502" s="10">
        <v>0.0</v>
      </c>
      <c r="G502" s="8" t="s">
        <v>370</v>
      </c>
      <c r="H502" s="8" t="s">
        <v>371</v>
      </c>
    </row>
    <row r="503">
      <c r="F503" s="10">
        <v>3500.0</v>
      </c>
      <c r="G503" s="8" t="s">
        <v>370</v>
      </c>
      <c r="H503" s="8" t="s">
        <v>371</v>
      </c>
    </row>
    <row r="504">
      <c r="F504" s="10">
        <v>0.0</v>
      </c>
      <c r="G504" s="8" t="s">
        <v>370</v>
      </c>
      <c r="H504" s="8" t="s">
        <v>371</v>
      </c>
    </row>
    <row r="505">
      <c r="F505" s="10">
        <v>0.0</v>
      </c>
      <c r="G505" s="8" t="s">
        <v>370</v>
      </c>
      <c r="H505" s="8" t="s">
        <v>371</v>
      </c>
    </row>
    <row r="506">
      <c r="F506" s="10">
        <v>3500.0</v>
      </c>
      <c r="G506" s="8" t="s">
        <v>370</v>
      </c>
      <c r="H506" s="8" t="s">
        <v>371</v>
      </c>
    </row>
    <row r="507">
      <c r="F507" s="10">
        <v>3000.0</v>
      </c>
      <c r="G507" s="8" t="s">
        <v>370</v>
      </c>
      <c r="H507" s="8" t="s">
        <v>371</v>
      </c>
    </row>
    <row r="508">
      <c r="F508" s="10">
        <v>0.0</v>
      </c>
      <c r="G508" s="8" t="s">
        <v>370</v>
      </c>
      <c r="H508" s="8" t="s">
        <v>371</v>
      </c>
    </row>
    <row r="509">
      <c r="F509" s="10">
        <v>3500.0</v>
      </c>
      <c r="G509" s="8" t="s">
        <v>370</v>
      </c>
      <c r="H509" s="8" t="s">
        <v>371</v>
      </c>
    </row>
    <row r="510">
      <c r="F510" s="10">
        <v>0.0</v>
      </c>
      <c r="G510" s="8" t="s">
        <v>370</v>
      </c>
      <c r="H510" s="8" t="s">
        <v>371</v>
      </c>
    </row>
    <row r="511">
      <c r="F511" s="10">
        <v>0.0</v>
      </c>
      <c r="G511" s="8" t="s">
        <v>370</v>
      </c>
      <c r="H511" s="8" t="s">
        <v>371</v>
      </c>
    </row>
    <row r="512">
      <c r="F512" s="10">
        <v>3500.0</v>
      </c>
      <c r="G512" s="8" t="s">
        <v>370</v>
      </c>
      <c r="H512" s="8" t="s">
        <v>371</v>
      </c>
    </row>
    <row r="513">
      <c r="F513" s="10">
        <v>3000.0</v>
      </c>
      <c r="G513" s="8" t="s">
        <v>370</v>
      </c>
      <c r="H513" s="8" t="s">
        <v>371</v>
      </c>
    </row>
    <row r="514">
      <c r="F514" s="10">
        <v>0.0</v>
      </c>
      <c r="G514" s="8" t="s">
        <v>370</v>
      </c>
      <c r="H514" s="8" t="s">
        <v>371</v>
      </c>
    </row>
    <row r="515">
      <c r="F515" s="10">
        <v>3500.0</v>
      </c>
      <c r="G515" s="8" t="s">
        <v>370</v>
      </c>
      <c r="H515" s="8" t="s">
        <v>371</v>
      </c>
    </row>
    <row r="516">
      <c r="F516" s="10">
        <v>0.0</v>
      </c>
      <c r="G516" s="8" t="s">
        <v>370</v>
      </c>
      <c r="H516" s="8" t="s">
        <v>371</v>
      </c>
    </row>
    <row r="517">
      <c r="F517" s="10">
        <v>7000.0</v>
      </c>
      <c r="G517" s="8" t="s">
        <v>370</v>
      </c>
      <c r="H517" s="8" t="s">
        <v>371</v>
      </c>
    </row>
    <row r="518">
      <c r="F518" s="10">
        <v>0.0</v>
      </c>
      <c r="G518" s="8" t="s">
        <v>370</v>
      </c>
      <c r="H518" s="8" t="s">
        <v>371</v>
      </c>
    </row>
    <row r="519">
      <c r="F519" s="10">
        <v>3500.0</v>
      </c>
      <c r="G519" s="8" t="s">
        <v>370</v>
      </c>
      <c r="H519" s="8" t="s">
        <v>371</v>
      </c>
    </row>
    <row r="520">
      <c r="F520" s="10">
        <v>3000.0</v>
      </c>
      <c r="G520" s="8" t="s">
        <v>370</v>
      </c>
      <c r="H520" s="8" t="s">
        <v>371</v>
      </c>
    </row>
    <row r="521">
      <c r="F521" s="10">
        <v>0.0</v>
      </c>
      <c r="G521" s="8" t="s">
        <v>370</v>
      </c>
      <c r="H521" s="8" t="s">
        <v>371</v>
      </c>
    </row>
    <row r="522">
      <c r="F522" s="10">
        <v>3500.0</v>
      </c>
      <c r="G522" s="8" t="s">
        <v>370</v>
      </c>
      <c r="H522" s="8" t="s">
        <v>371</v>
      </c>
    </row>
    <row r="523">
      <c r="F523" s="10">
        <v>0.0</v>
      </c>
      <c r="G523" s="8" t="s">
        <v>370</v>
      </c>
      <c r="H523" s="8" t="s">
        <v>371</v>
      </c>
    </row>
    <row r="524">
      <c r="F524" s="10">
        <v>3500.0</v>
      </c>
      <c r="G524" s="8" t="s">
        <v>370</v>
      </c>
      <c r="H524" s="8" t="s">
        <v>371</v>
      </c>
    </row>
    <row r="525">
      <c r="F525" s="10">
        <v>3000.0</v>
      </c>
      <c r="G525" s="8" t="s">
        <v>370</v>
      </c>
      <c r="H525" s="8" t="s">
        <v>371</v>
      </c>
    </row>
    <row r="526">
      <c r="F526" s="10">
        <v>0.0</v>
      </c>
      <c r="G526" s="8" t="s">
        <v>370</v>
      </c>
      <c r="H526" s="8" t="s">
        <v>371</v>
      </c>
    </row>
    <row r="527">
      <c r="F527" s="10">
        <v>0.0</v>
      </c>
      <c r="G527" s="8" t="s">
        <v>370</v>
      </c>
      <c r="H527" s="8" t="s">
        <v>371</v>
      </c>
    </row>
    <row r="528">
      <c r="F528" s="10">
        <v>3500.0</v>
      </c>
      <c r="G528" s="8" t="s">
        <v>370</v>
      </c>
      <c r="H528" s="8" t="s">
        <v>371</v>
      </c>
    </row>
    <row r="529">
      <c r="F529" s="10">
        <v>3000.0</v>
      </c>
      <c r="G529" s="8" t="s">
        <v>370</v>
      </c>
      <c r="H529" s="8" t="s">
        <v>371</v>
      </c>
    </row>
    <row r="530">
      <c r="F530" s="10">
        <v>0.0</v>
      </c>
      <c r="G530" s="8" t="s">
        <v>370</v>
      </c>
      <c r="H530" s="8" t="s">
        <v>371</v>
      </c>
    </row>
    <row r="531">
      <c r="F531" s="10">
        <v>3500.0</v>
      </c>
      <c r="G531" s="8" t="s">
        <v>370</v>
      </c>
      <c r="H531" s="8" t="s">
        <v>371</v>
      </c>
    </row>
    <row r="532">
      <c r="F532" s="10">
        <v>0.0</v>
      </c>
      <c r="G532" s="8" t="s">
        <v>370</v>
      </c>
      <c r="H532" s="8" t="s">
        <v>371</v>
      </c>
    </row>
    <row r="533">
      <c r="F533" s="10">
        <v>0.0</v>
      </c>
      <c r="G533" s="8" t="s">
        <v>370</v>
      </c>
      <c r="H533" s="8" t="s">
        <v>371</v>
      </c>
    </row>
    <row r="534">
      <c r="F534" s="10">
        <v>3500.0</v>
      </c>
      <c r="G534" s="8" t="s">
        <v>370</v>
      </c>
      <c r="H534" s="8" t="s">
        <v>371</v>
      </c>
    </row>
    <row r="535">
      <c r="F535" s="10">
        <v>3000.0</v>
      </c>
      <c r="G535" s="8" t="s">
        <v>370</v>
      </c>
      <c r="H535" s="8" t="s">
        <v>371</v>
      </c>
    </row>
    <row r="536">
      <c r="F536" s="10">
        <v>0.0</v>
      </c>
      <c r="G536" s="8" t="s">
        <v>370</v>
      </c>
      <c r="H536" s="8" t="s">
        <v>371</v>
      </c>
    </row>
    <row r="537">
      <c r="F537" s="10">
        <v>3500.0</v>
      </c>
      <c r="G537" s="8" t="s">
        <v>370</v>
      </c>
      <c r="H537" s="8" t="s">
        <v>371</v>
      </c>
    </row>
    <row r="538">
      <c r="F538" s="10">
        <v>0.0</v>
      </c>
      <c r="G538" s="8" t="s">
        <v>370</v>
      </c>
      <c r="H538" s="8" t="s">
        <v>371</v>
      </c>
    </row>
    <row r="539">
      <c r="F539" s="10">
        <v>0.0</v>
      </c>
      <c r="G539" s="8" t="s">
        <v>370</v>
      </c>
      <c r="H539" s="8" t="s">
        <v>371</v>
      </c>
    </row>
    <row r="540">
      <c r="F540" s="10">
        <v>3500.0</v>
      </c>
      <c r="G540" s="8" t="s">
        <v>370</v>
      </c>
      <c r="H540" s="8" t="s">
        <v>371</v>
      </c>
    </row>
    <row r="541">
      <c r="F541" s="10">
        <v>3000.0</v>
      </c>
      <c r="G541" s="8" t="s">
        <v>370</v>
      </c>
      <c r="H541" s="8" t="s">
        <v>371</v>
      </c>
    </row>
    <row r="542">
      <c r="F542" s="10">
        <v>0.0</v>
      </c>
      <c r="G542" s="8" t="s">
        <v>370</v>
      </c>
      <c r="H542" s="8" t="s">
        <v>371</v>
      </c>
    </row>
    <row r="543">
      <c r="F543" s="10">
        <v>3500.0</v>
      </c>
      <c r="G543" s="8" t="s">
        <v>370</v>
      </c>
      <c r="H543" s="8" t="s">
        <v>371</v>
      </c>
    </row>
    <row r="544">
      <c r="F544" s="10">
        <v>0.0</v>
      </c>
      <c r="G544" s="8" t="s">
        <v>370</v>
      </c>
      <c r="H544" s="8" t="s">
        <v>371</v>
      </c>
    </row>
    <row r="545">
      <c r="F545" s="10">
        <v>0.0</v>
      </c>
      <c r="G545" s="8" t="s">
        <v>370</v>
      </c>
      <c r="H545" s="8" t="s">
        <v>371</v>
      </c>
    </row>
    <row r="546">
      <c r="F546" s="10">
        <v>3500.0</v>
      </c>
      <c r="G546" s="8" t="s">
        <v>370</v>
      </c>
      <c r="H546" s="8" t="s">
        <v>371</v>
      </c>
    </row>
    <row r="547">
      <c r="F547" s="10">
        <v>3000.0</v>
      </c>
      <c r="G547" s="8" t="s">
        <v>370</v>
      </c>
      <c r="H547" s="8" t="s">
        <v>371</v>
      </c>
    </row>
    <row r="548">
      <c r="F548" s="10">
        <v>0.0</v>
      </c>
      <c r="G548" s="8" t="s">
        <v>370</v>
      </c>
      <c r="H548" s="8" t="s">
        <v>371</v>
      </c>
    </row>
    <row r="549">
      <c r="F549" s="10">
        <v>3500.0</v>
      </c>
      <c r="G549" s="8" t="s">
        <v>370</v>
      </c>
      <c r="H549" s="8" t="s">
        <v>371</v>
      </c>
    </row>
    <row r="550">
      <c r="F550" s="10">
        <v>0.0</v>
      </c>
      <c r="G550" s="8" t="s">
        <v>370</v>
      </c>
      <c r="H550" s="8" t="s">
        <v>371</v>
      </c>
    </row>
    <row r="551">
      <c r="F551" s="10">
        <v>0.0</v>
      </c>
      <c r="G551" s="8" t="s">
        <v>370</v>
      </c>
      <c r="H551" s="8" t="s">
        <v>371</v>
      </c>
    </row>
    <row r="552">
      <c r="F552" s="10">
        <v>0.0</v>
      </c>
      <c r="G552" s="8" t="s">
        <v>370</v>
      </c>
      <c r="H552" s="8" t="s">
        <v>371</v>
      </c>
    </row>
    <row r="553">
      <c r="F553" s="10">
        <v>3000.0</v>
      </c>
      <c r="G553" s="8" t="s">
        <v>370</v>
      </c>
      <c r="H553" s="8" t="s">
        <v>371</v>
      </c>
    </row>
    <row r="554">
      <c r="F554" s="10">
        <v>0.0</v>
      </c>
      <c r="G554" s="8" t="s">
        <v>370</v>
      </c>
      <c r="H554" s="8" t="s">
        <v>371</v>
      </c>
    </row>
    <row r="555">
      <c r="F555" s="10">
        <v>3500.0</v>
      </c>
      <c r="G555" s="8" t="s">
        <v>370</v>
      </c>
      <c r="H555" s="8" t="s">
        <v>371</v>
      </c>
    </row>
    <row r="556">
      <c r="F556" s="10">
        <v>0.0</v>
      </c>
      <c r="G556" s="8" t="s">
        <v>370</v>
      </c>
      <c r="H556" s="8" t="s">
        <v>371</v>
      </c>
    </row>
    <row r="557">
      <c r="F557" s="10">
        <v>0.0</v>
      </c>
      <c r="G557" s="8" t="s">
        <v>370</v>
      </c>
      <c r="H557" s="8" t="s">
        <v>371</v>
      </c>
    </row>
    <row r="558">
      <c r="F558" s="10">
        <v>3500.0</v>
      </c>
      <c r="G558" s="8" t="s">
        <v>370</v>
      </c>
      <c r="H558" s="8" t="s">
        <v>371</v>
      </c>
    </row>
    <row r="559">
      <c r="F559" s="10">
        <v>3000.0</v>
      </c>
      <c r="G559" s="8" t="s">
        <v>370</v>
      </c>
      <c r="H559" s="8" t="s">
        <v>371</v>
      </c>
    </row>
    <row r="560">
      <c r="F560" s="10">
        <v>0.0</v>
      </c>
      <c r="G560" s="8" t="s">
        <v>370</v>
      </c>
      <c r="H560" s="8" t="s">
        <v>371</v>
      </c>
    </row>
    <row r="561">
      <c r="F561" s="10">
        <v>3500.0</v>
      </c>
      <c r="G561" s="8" t="s">
        <v>370</v>
      </c>
      <c r="H561" s="8" t="s">
        <v>371</v>
      </c>
    </row>
    <row r="562">
      <c r="F562" s="10">
        <v>0.0</v>
      </c>
      <c r="G562" s="8" t="s">
        <v>370</v>
      </c>
      <c r="H562" s="8" t="s">
        <v>371</v>
      </c>
    </row>
    <row r="563">
      <c r="F563" s="10">
        <v>7000.0</v>
      </c>
      <c r="G563" s="8" t="s">
        <v>370</v>
      </c>
      <c r="H563" s="8" t="s">
        <v>371</v>
      </c>
    </row>
    <row r="564">
      <c r="F564" s="10">
        <v>0.0</v>
      </c>
      <c r="G564" s="8" t="s">
        <v>370</v>
      </c>
      <c r="H564" s="8" t="s">
        <v>371</v>
      </c>
    </row>
    <row r="565">
      <c r="F565" s="10">
        <v>3500.0</v>
      </c>
      <c r="G565" s="8" t="s">
        <v>370</v>
      </c>
      <c r="H565" s="8" t="s">
        <v>371</v>
      </c>
    </row>
    <row r="566">
      <c r="F566" s="10">
        <v>3000.0</v>
      </c>
      <c r="G566" s="8" t="s">
        <v>370</v>
      </c>
      <c r="H566" s="8" t="s">
        <v>371</v>
      </c>
    </row>
    <row r="567">
      <c r="F567" s="10">
        <v>0.0</v>
      </c>
      <c r="G567" s="8" t="s">
        <v>370</v>
      </c>
      <c r="H567" s="8" t="s">
        <v>371</v>
      </c>
    </row>
    <row r="568">
      <c r="F568" s="10">
        <v>3500.0</v>
      </c>
      <c r="G568" s="8" t="s">
        <v>370</v>
      </c>
      <c r="H568" s="8" t="s">
        <v>371</v>
      </c>
    </row>
    <row r="569">
      <c r="F569" s="10">
        <v>0.0</v>
      </c>
      <c r="G569" s="8" t="s">
        <v>370</v>
      </c>
      <c r="H569" s="8" t="s">
        <v>371</v>
      </c>
    </row>
    <row r="570">
      <c r="F570" s="10">
        <v>3500.0</v>
      </c>
      <c r="G570" s="8" t="s">
        <v>370</v>
      </c>
      <c r="H570" s="8" t="s">
        <v>371</v>
      </c>
    </row>
    <row r="571">
      <c r="F571" s="10">
        <v>3000.0</v>
      </c>
      <c r="G571" s="8" t="s">
        <v>370</v>
      </c>
      <c r="H571" s="8" t="s">
        <v>371</v>
      </c>
    </row>
    <row r="572">
      <c r="F572" s="10">
        <v>0.0</v>
      </c>
      <c r="G572" s="8" t="s">
        <v>370</v>
      </c>
      <c r="H572" s="8" t="s">
        <v>371</v>
      </c>
    </row>
    <row r="573">
      <c r="F573" s="10">
        <v>0.0</v>
      </c>
      <c r="G573" s="8" t="s">
        <v>370</v>
      </c>
      <c r="H573" s="8" t="s">
        <v>371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5.88"/>
    <col customWidth="1" min="3" max="3" width="17.0"/>
    <col customWidth="1" min="4" max="4" width="13.38"/>
    <col customWidth="1" min="5" max="5" width="16.13"/>
    <col customWidth="1" min="6" max="6" width="16.5"/>
    <col customWidth="1" min="7" max="7" width="14.38"/>
    <col customWidth="1" min="8" max="8" width="14.25"/>
    <col customWidth="1" min="9" max="9" width="15.5"/>
    <col customWidth="1" min="10" max="10" width="13.5"/>
    <col customWidth="1" min="11" max="11" width="12.63"/>
    <col customWidth="1" min="12" max="12" width="13.75"/>
    <col customWidth="1" min="13" max="13" width="13.13"/>
    <col customWidth="1" min="14" max="14" width="17.38"/>
    <col customWidth="1" min="15" max="15" width="14.63"/>
    <col customWidth="1" min="16" max="16" width="16.38"/>
    <col customWidth="1" min="17" max="20" width="7.38"/>
  </cols>
  <sheetData>
    <row r="1" ht="22.5" customHeight="1">
      <c r="A1" s="37" t="s">
        <v>1</v>
      </c>
      <c r="B1" s="37" t="s">
        <v>331</v>
      </c>
      <c r="C1" s="37" t="s">
        <v>332</v>
      </c>
      <c r="D1" s="37" t="s">
        <v>334</v>
      </c>
      <c r="E1" s="37" t="s">
        <v>335</v>
      </c>
      <c r="F1" s="37" t="s">
        <v>337</v>
      </c>
      <c r="G1" s="37" t="s">
        <v>338</v>
      </c>
      <c r="H1" s="37" t="s">
        <v>340</v>
      </c>
      <c r="I1" s="37" t="s">
        <v>341</v>
      </c>
      <c r="J1" s="37" t="s">
        <v>343</v>
      </c>
      <c r="K1" s="37" t="s">
        <v>344</v>
      </c>
      <c r="L1" s="37" t="s">
        <v>346</v>
      </c>
      <c r="M1" s="37" t="s">
        <v>347</v>
      </c>
      <c r="N1" s="37" t="s">
        <v>349</v>
      </c>
      <c r="O1" s="37" t="s">
        <v>350</v>
      </c>
      <c r="P1" s="37" t="s">
        <v>352</v>
      </c>
      <c r="Q1" s="37" t="s">
        <v>353</v>
      </c>
      <c r="R1" s="37" t="s">
        <v>355</v>
      </c>
      <c r="S1" s="37" t="s">
        <v>399</v>
      </c>
      <c r="T1" s="37" t="s">
        <v>356</v>
      </c>
    </row>
    <row r="2" ht="22.5" customHeight="1">
      <c r="A2" s="38" t="s">
        <v>7</v>
      </c>
      <c r="B2" s="38" t="s">
        <v>25</v>
      </c>
      <c r="C2" s="38" t="s">
        <v>61</v>
      </c>
      <c r="D2" s="38" t="s">
        <v>60</v>
      </c>
      <c r="E2" s="38" t="s">
        <v>65</v>
      </c>
      <c r="F2" s="38" t="s">
        <v>63</v>
      </c>
      <c r="G2" s="38" t="s">
        <v>40</v>
      </c>
      <c r="H2" s="39" t="s">
        <v>388</v>
      </c>
      <c r="I2" s="39" t="s">
        <v>389</v>
      </c>
      <c r="J2" s="39" t="s">
        <v>390</v>
      </c>
      <c r="K2" s="39" t="s">
        <v>40</v>
      </c>
      <c r="L2" s="38" t="s">
        <v>391</v>
      </c>
      <c r="M2" s="39" t="s">
        <v>129</v>
      </c>
      <c r="N2" s="39" t="s">
        <v>127</v>
      </c>
      <c r="O2" s="38" t="s">
        <v>57</v>
      </c>
      <c r="P2" s="38" t="s">
        <v>53</v>
      </c>
      <c r="Q2" s="38"/>
      <c r="R2" s="38"/>
      <c r="S2" s="38"/>
      <c r="T2" s="38"/>
    </row>
    <row r="3" ht="22.5" customHeight="1">
      <c r="A3" s="38" t="s">
        <v>16</v>
      </c>
      <c r="B3" s="38" t="s">
        <v>25</v>
      </c>
      <c r="C3" s="38" t="s">
        <v>61</v>
      </c>
      <c r="D3" s="38" t="s">
        <v>60</v>
      </c>
      <c r="E3" s="38" t="s">
        <v>65</v>
      </c>
      <c r="F3" s="38" t="s">
        <v>63</v>
      </c>
      <c r="G3" s="38" t="s">
        <v>40</v>
      </c>
      <c r="H3" s="39" t="s">
        <v>66</v>
      </c>
      <c r="I3" s="39" t="s">
        <v>71</v>
      </c>
      <c r="J3" s="39" t="s">
        <v>69</v>
      </c>
      <c r="K3" s="39" t="s">
        <v>57</v>
      </c>
      <c r="L3" s="38" t="s">
        <v>53</v>
      </c>
      <c r="M3" s="39"/>
      <c r="N3" s="39"/>
      <c r="O3" s="38"/>
      <c r="P3" s="38"/>
      <c r="Q3" s="38"/>
      <c r="R3" s="38"/>
      <c r="S3" s="38"/>
      <c r="T3" s="38"/>
    </row>
    <row r="4" ht="22.5" customHeight="1">
      <c r="A4" s="38" t="s">
        <v>226</v>
      </c>
      <c r="B4" s="38" t="s">
        <v>25</v>
      </c>
      <c r="C4" s="38" t="s">
        <v>61</v>
      </c>
      <c r="D4" s="38" t="s">
        <v>60</v>
      </c>
      <c r="E4" s="38" t="s">
        <v>65</v>
      </c>
      <c r="F4" s="38" t="s">
        <v>63</v>
      </c>
      <c r="G4" s="38" t="s">
        <v>40</v>
      </c>
      <c r="H4" s="39" t="s">
        <v>79</v>
      </c>
      <c r="I4" s="39">
        <v>1.0</v>
      </c>
      <c r="J4" s="39" t="s">
        <v>215</v>
      </c>
      <c r="K4" s="39">
        <v>1.0</v>
      </c>
      <c r="L4" s="38" t="s">
        <v>53</v>
      </c>
      <c r="M4" s="39" t="s">
        <v>57</v>
      </c>
      <c r="N4" s="39" t="s">
        <v>53</v>
      </c>
      <c r="O4" s="38"/>
      <c r="P4" s="38"/>
      <c r="Q4" s="38"/>
      <c r="R4" s="38"/>
      <c r="S4" s="38"/>
      <c r="T4" s="38"/>
    </row>
    <row r="5" ht="22.5" customHeight="1">
      <c r="A5" s="38" t="s">
        <v>23</v>
      </c>
      <c r="B5" s="38" t="s">
        <v>25</v>
      </c>
      <c r="C5" s="38" t="s">
        <v>61</v>
      </c>
      <c r="D5" s="38" t="s">
        <v>60</v>
      </c>
      <c r="E5" s="38" t="s">
        <v>65</v>
      </c>
      <c r="F5" s="38" t="s">
        <v>63</v>
      </c>
      <c r="G5" s="38" t="s">
        <v>40</v>
      </c>
      <c r="H5" s="39" t="s">
        <v>79</v>
      </c>
      <c r="I5" s="39">
        <v>1.0</v>
      </c>
      <c r="J5" s="39" t="s">
        <v>53</v>
      </c>
      <c r="K5" s="39" t="s">
        <v>57</v>
      </c>
      <c r="L5" s="38" t="s">
        <v>53</v>
      </c>
      <c r="M5" s="39"/>
      <c r="N5" s="39"/>
      <c r="O5" s="38"/>
      <c r="P5" s="38"/>
      <c r="Q5" s="38"/>
      <c r="R5" s="38"/>
      <c r="S5" s="38"/>
      <c r="T5" s="38"/>
    </row>
    <row r="6" ht="22.5" customHeight="1">
      <c r="A6" s="38" t="s">
        <v>229</v>
      </c>
      <c r="B6" s="38" t="s">
        <v>25</v>
      </c>
      <c r="C6" s="38" t="s">
        <v>61</v>
      </c>
      <c r="D6" s="38" t="s">
        <v>60</v>
      </c>
      <c r="E6" s="38" t="s">
        <v>65</v>
      </c>
      <c r="F6" s="38" t="s">
        <v>63</v>
      </c>
      <c r="G6" s="38" t="s">
        <v>40</v>
      </c>
      <c r="H6" s="39" t="s">
        <v>79</v>
      </c>
      <c r="I6" s="39">
        <v>1.0</v>
      </c>
      <c r="J6" s="39" t="s">
        <v>408</v>
      </c>
      <c r="K6" s="39">
        <v>1.0</v>
      </c>
      <c r="L6" s="38" t="s">
        <v>53</v>
      </c>
      <c r="M6" s="39" t="s">
        <v>57</v>
      </c>
      <c r="N6" s="39" t="s">
        <v>53</v>
      </c>
      <c r="O6" s="38"/>
      <c r="P6" s="38"/>
      <c r="Q6" s="38"/>
      <c r="R6" s="38"/>
      <c r="S6" s="38"/>
      <c r="T6" s="38"/>
    </row>
    <row r="7" ht="22.5" customHeight="1">
      <c r="A7" s="38" t="s">
        <v>28</v>
      </c>
      <c r="B7" s="38" t="s">
        <v>25</v>
      </c>
      <c r="C7" s="38" t="s">
        <v>61</v>
      </c>
      <c r="D7" s="38" t="s">
        <v>60</v>
      </c>
      <c r="E7" s="38" t="s">
        <v>65</v>
      </c>
      <c r="F7" s="38" t="s">
        <v>63</v>
      </c>
      <c r="G7" s="38" t="s">
        <v>40</v>
      </c>
      <c r="H7" s="39" t="s">
        <v>79</v>
      </c>
      <c r="I7" s="39">
        <v>1.0</v>
      </c>
      <c r="J7" s="39" t="s">
        <v>410</v>
      </c>
      <c r="K7" s="39">
        <v>1.0</v>
      </c>
      <c r="L7" s="38" t="s">
        <v>53</v>
      </c>
      <c r="M7" s="39" t="s">
        <v>57</v>
      </c>
      <c r="N7" s="39" t="s">
        <v>53</v>
      </c>
      <c r="O7" s="38"/>
      <c r="P7" s="38"/>
      <c r="Q7" s="38"/>
      <c r="R7" s="38"/>
      <c r="S7" s="38"/>
      <c r="T7" s="38"/>
    </row>
    <row r="8" ht="22.5" customHeight="1">
      <c r="A8" s="38" t="s">
        <v>31</v>
      </c>
      <c r="B8" s="38" t="s">
        <v>25</v>
      </c>
      <c r="C8" s="38" t="s">
        <v>61</v>
      </c>
      <c r="D8" s="38" t="s">
        <v>60</v>
      </c>
      <c r="E8" s="38" t="s">
        <v>65</v>
      </c>
      <c r="F8" s="38" t="s">
        <v>63</v>
      </c>
      <c r="G8" s="38" t="s">
        <v>40</v>
      </c>
      <c r="H8" s="39" t="s">
        <v>79</v>
      </c>
      <c r="I8" s="39">
        <v>1.0</v>
      </c>
      <c r="J8" s="39" t="s">
        <v>415</v>
      </c>
      <c r="K8" s="39">
        <v>1.0</v>
      </c>
      <c r="L8" s="38" t="s">
        <v>53</v>
      </c>
      <c r="M8" s="39" t="s">
        <v>57</v>
      </c>
      <c r="N8" s="39" t="s">
        <v>53</v>
      </c>
      <c r="O8" s="38"/>
      <c r="P8" s="38"/>
      <c r="Q8" s="38"/>
      <c r="R8" s="38"/>
      <c r="S8" s="38"/>
      <c r="T8" s="38"/>
    </row>
    <row r="9" ht="22.5" customHeight="1">
      <c r="A9" s="38" t="s">
        <v>34</v>
      </c>
      <c r="B9" s="38" t="s">
        <v>25</v>
      </c>
      <c r="C9" s="38" t="s">
        <v>61</v>
      </c>
      <c r="D9" s="38" t="s">
        <v>60</v>
      </c>
      <c r="E9" s="38" t="s">
        <v>65</v>
      </c>
      <c r="F9" s="38" t="s">
        <v>63</v>
      </c>
      <c r="G9" s="38" t="s">
        <v>40</v>
      </c>
      <c r="H9" s="39" t="s">
        <v>79</v>
      </c>
      <c r="I9" s="39">
        <v>1.0</v>
      </c>
      <c r="J9" s="39" t="s">
        <v>417</v>
      </c>
      <c r="K9" s="39">
        <v>1.0</v>
      </c>
      <c r="L9" s="38" t="s">
        <v>53</v>
      </c>
      <c r="M9" s="39" t="s">
        <v>57</v>
      </c>
      <c r="N9" s="39" t="s">
        <v>53</v>
      </c>
      <c r="O9" s="38"/>
      <c r="P9" s="38"/>
      <c r="Q9" s="38"/>
      <c r="R9" s="38"/>
      <c r="S9" s="38"/>
      <c r="T9" s="38"/>
    </row>
    <row r="10" ht="22.5" customHeight="1">
      <c r="A10" s="38" t="s">
        <v>109</v>
      </c>
      <c r="B10" s="38" t="s">
        <v>25</v>
      </c>
      <c r="C10" s="38" t="s">
        <v>61</v>
      </c>
      <c r="D10" s="38" t="s">
        <v>60</v>
      </c>
      <c r="E10" s="38" t="s">
        <v>65</v>
      </c>
      <c r="F10" s="38" t="s">
        <v>63</v>
      </c>
      <c r="G10" s="38" t="s">
        <v>40</v>
      </c>
      <c r="H10" s="39" t="s">
        <v>79</v>
      </c>
      <c r="I10" s="39">
        <v>1.0</v>
      </c>
      <c r="J10" s="39" t="s">
        <v>418</v>
      </c>
      <c r="K10" s="39">
        <v>1.0</v>
      </c>
      <c r="L10" s="38" t="s">
        <v>53</v>
      </c>
      <c r="M10" s="39" t="s">
        <v>57</v>
      </c>
      <c r="N10" s="39" t="s">
        <v>53</v>
      </c>
      <c r="O10" s="38"/>
      <c r="P10" s="38"/>
      <c r="Q10" s="38"/>
      <c r="R10" s="38"/>
      <c r="S10" s="38"/>
      <c r="T10" s="38"/>
    </row>
    <row r="11" ht="22.5" customHeight="1">
      <c r="A11" s="38" t="s">
        <v>233</v>
      </c>
      <c r="B11" s="38" t="s">
        <v>25</v>
      </c>
      <c r="C11" s="38" t="s">
        <v>61</v>
      </c>
      <c r="D11" s="38" t="s">
        <v>60</v>
      </c>
      <c r="E11" s="38" t="s">
        <v>65</v>
      </c>
      <c r="F11" s="38" t="s">
        <v>63</v>
      </c>
      <c r="G11" s="38" t="s">
        <v>40</v>
      </c>
      <c r="H11" s="39" t="s">
        <v>79</v>
      </c>
      <c r="I11" s="39">
        <v>1.0</v>
      </c>
      <c r="J11" s="39" t="s">
        <v>214</v>
      </c>
      <c r="K11" s="39">
        <v>1.0</v>
      </c>
      <c r="L11" s="38" t="s">
        <v>53</v>
      </c>
      <c r="M11" s="39" t="s">
        <v>57</v>
      </c>
      <c r="N11" s="39" t="s">
        <v>53</v>
      </c>
      <c r="O11" s="38"/>
      <c r="P11" s="38"/>
      <c r="Q11" s="38"/>
      <c r="R11" s="38"/>
      <c r="S11" s="38"/>
      <c r="T11" s="38"/>
    </row>
    <row r="12" ht="22.5" customHeight="1">
      <c r="A12" s="38" t="s">
        <v>41</v>
      </c>
      <c r="B12" s="38" t="s">
        <v>25</v>
      </c>
      <c r="C12" s="38" t="s">
        <v>61</v>
      </c>
      <c r="D12" s="38" t="s">
        <v>60</v>
      </c>
      <c r="E12" s="38" t="s">
        <v>65</v>
      </c>
      <c r="F12" s="38" t="s">
        <v>63</v>
      </c>
      <c r="G12" s="38" t="s">
        <v>40</v>
      </c>
      <c r="H12" s="39" t="s">
        <v>79</v>
      </c>
      <c r="I12" s="39" t="s">
        <v>424</v>
      </c>
      <c r="J12" s="39" t="s">
        <v>408</v>
      </c>
      <c r="K12" s="39">
        <v>1.0</v>
      </c>
      <c r="L12" s="38" t="s">
        <v>53</v>
      </c>
      <c r="M12" s="39" t="s">
        <v>57</v>
      </c>
      <c r="N12" s="39" t="s">
        <v>53</v>
      </c>
      <c r="O12" s="38"/>
      <c r="P12" s="38"/>
      <c r="Q12" s="38"/>
      <c r="R12" s="38"/>
      <c r="S12" s="38"/>
      <c r="T12" s="38"/>
    </row>
    <row r="13" ht="22.5" customHeight="1">
      <c r="A13" s="38" t="s">
        <v>235</v>
      </c>
      <c r="B13" s="38" t="s">
        <v>25</v>
      </c>
      <c r="C13" s="38" t="s">
        <v>61</v>
      </c>
      <c r="D13" s="38" t="s">
        <v>60</v>
      </c>
      <c r="E13" s="38" t="s">
        <v>65</v>
      </c>
      <c r="F13" s="38" t="s">
        <v>63</v>
      </c>
      <c r="G13" s="38" t="s">
        <v>40</v>
      </c>
      <c r="H13" s="39" t="s">
        <v>79</v>
      </c>
      <c r="I13" s="39" t="s">
        <v>424</v>
      </c>
      <c r="J13" s="39" t="s">
        <v>410</v>
      </c>
      <c r="K13" s="39">
        <v>1.0</v>
      </c>
      <c r="L13" s="38" t="s">
        <v>53</v>
      </c>
      <c r="M13" s="39" t="s">
        <v>57</v>
      </c>
      <c r="N13" s="39" t="s">
        <v>53</v>
      </c>
      <c r="O13" s="38"/>
      <c r="P13" s="38"/>
      <c r="Q13" s="38"/>
      <c r="R13" s="38"/>
      <c r="S13" s="38"/>
      <c r="T13" s="38"/>
    </row>
    <row r="14" ht="22.5" customHeight="1">
      <c r="A14" s="38" t="s">
        <v>48</v>
      </c>
      <c r="B14" s="38" t="s">
        <v>25</v>
      </c>
      <c r="C14" s="38" t="s">
        <v>61</v>
      </c>
      <c r="D14" s="38" t="s">
        <v>60</v>
      </c>
      <c r="E14" s="38" t="s">
        <v>65</v>
      </c>
      <c r="F14" s="38" t="s">
        <v>63</v>
      </c>
      <c r="G14" s="38" t="s">
        <v>40</v>
      </c>
      <c r="H14" s="39" t="s">
        <v>79</v>
      </c>
      <c r="I14" s="39" t="s">
        <v>424</v>
      </c>
      <c r="J14" s="39" t="s">
        <v>415</v>
      </c>
      <c r="K14" s="39">
        <v>1.0</v>
      </c>
      <c r="L14" s="38" t="s">
        <v>53</v>
      </c>
      <c r="M14" s="39" t="s">
        <v>57</v>
      </c>
      <c r="N14" s="39" t="s">
        <v>53</v>
      </c>
      <c r="O14" s="38"/>
      <c r="P14" s="38"/>
      <c r="Q14" s="38"/>
      <c r="R14" s="38"/>
      <c r="S14" s="38"/>
      <c r="T14" s="38"/>
    </row>
    <row r="15" ht="22.5" customHeight="1">
      <c r="A15" s="38" t="s">
        <v>237</v>
      </c>
      <c r="B15" s="38" t="s">
        <v>25</v>
      </c>
      <c r="C15" s="38" t="s">
        <v>61</v>
      </c>
      <c r="D15" s="38" t="s">
        <v>60</v>
      </c>
      <c r="E15" s="38" t="s">
        <v>65</v>
      </c>
      <c r="F15" s="38" t="s">
        <v>63</v>
      </c>
      <c r="G15" s="38" t="s">
        <v>40</v>
      </c>
      <c r="H15" s="39" t="s">
        <v>79</v>
      </c>
      <c r="I15" s="39" t="s">
        <v>424</v>
      </c>
      <c r="J15" s="39" t="s">
        <v>417</v>
      </c>
      <c r="K15" s="39">
        <v>1.0</v>
      </c>
      <c r="L15" s="38" t="s">
        <v>53</v>
      </c>
      <c r="M15" s="39" t="s">
        <v>57</v>
      </c>
      <c r="N15" s="39" t="s">
        <v>53</v>
      </c>
      <c r="O15" s="38"/>
      <c r="P15" s="38"/>
      <c r="Q15" s="38"/>
      <c r="R15" s="38"/>
      <c r="S15" s="38"/>
      <c r="T15" s="38"/>
    </row>
    <row r="16" ht="22.5" customHeight="1">
      <c r="A16" s="38" t="s">
        <v>54</v>
      </c>
      <c r="B16" s="38" t="s">
        <v>25</v>
      </c>
      <c r="C16" s="38" t="s">
        <v>61</v>
      </c>
      <c r="D16" s="38" t="s">
        <v>60</v>
      </c>
      <c r="E16" s="38" t="s">
        <v>65</v>
      </c>
      <c r="F16" s="38" t="s">
        <v>63</v>
      </c>
      <c r="G16" s="38" t="s">
        <v>40</v>
      </c>
      <c r="H16" s="39" t="s">
        <v>79</v>
      </c>
      <c r="I16" s="39" t="s">
        <v>424</v>
      </c>
      <c r="J16" s="39" t="s">
        <v>418</v>
      </c>
      <c r="K16" s="39">
        <v>1.0</v>
      </c>
      <c r="L16" s="38" t="s">
        <v>53</v>
      </c>
      <c r="M16" s="39" t="s">
        <v>57</v>
      </c>
      <c r="N16" s="39" t="s">
        <v>53</v>
      </c>
      <c r="O16" s="38"/>
      <c r="P16" s="38"/>
      <c r="Q16" s="38"/>
      <c r="R16" s="38"/>
      <c r="S16" s="38"/>
      <c r="T16" s="38"/>
    </row>
    <row r="17" ht="22.5" customHeight="1">
      <c r="A17" s="38" t="s">
        <v>58</v>
      </c>
      <c r="B17" s="38" t="s">
        <v>25</v>
      </c>
      <c r="C17" s="38" t="s">
        <v>61</v>
      </c>
      <c r="D17" s="38" t="s">
        <v>60</v>
      </c>
      <c r="E17" s="38" t="s">
        <v>65</v>
      </c>
      <c r="F17" s="38" t="s">
        <v>63</v>
      </c>
      <c r="G17" s="38" t="s">
        <v>40</v>
      </c>
      <c r="H17" s="39" t="s">
        <v>79</v>
      </c>
      <c r="I17" s="39" t="s">
        <v>424</v>
      </c>
      <c r="J17" s="39" t="s">
        <v>214</v>
      </c>
      <c r="K17" s="39">
        <v>1.0</v>
      </c>
      <c r="L17" s="38" t="s">
        <v>53</v>
      </c>
      <c r="M17" s="39" t="s">
        <v>57</v>
      </c>
      <c r="N17" s="39" t="s">
        <v>53</v>
      </c>
      <c r="O17" s="38"/>
      <c r="P17" s="38"/>
      <c r="Q17" s="38"/>
      <c r="R17" s="38"/>
      <c r="S17" s="38"/>
      <c r="T17" s="38"/>
    </row>
    <row r="18" ht="22.5" customHeight="1">
      <c r="A18" s="38" t="s">
        <v>123</v>
      </c>
      <c r="B18" s="38" t="s">
        <v>25</v>
      </c>
      <c r="C18" s="38" t="s">
        <v>61</v>
      </c>
      <c r="D18" s="38" t="s">
        <v>60</v>
      </c>
      <c r="E18" s="38" t="s">
        <v>65</v>
      </c>
      <c r="F18" s="38" t="s">
        <v>63</v>
      </c>
      <c r="G18" s="38" t="s">
        <v>40</v>
      </c>
      <c r="H18" s="39" t="s">
        <v>79</v>
      </c>
      <c r="I18" s="39" t="s">
        <v>424</v>
      </c>
      <c r="J18" s="39" t="s">
        <v>215</v>
      </c>
      <c r="K18" s="39">
        <v>1.0</v>
      </c>
      <c r="L18" s="38" t="s">
        <v>53</v>
      </c>
      <c r="M18" s="39" t="s">
        <v>57</v>
      </c>
      <c r="N18" s="39" t="s">
        <v>53</v>
      </c>
      <c r="O18" s="38"/>
      <c r="P18" s="38"/>
      <c r="Q18" s="38"/>
      <c r="R18" s="38"/>
      <c r="S18" s="38"/>
      <c r="T18" s="38"/>
    </row>
    <row r="19" ht="22.5" customHeight="1">
      <c r="A19" s="38" t="s">
        <v>62</v>
      </c>
      <c r="B19" s="38" t="s">
        <v>25</v>
      </c>
      <c r="C19" s="38" t="s">
        <v>61</v>
      </c>
      <c r="D19" s="38" t="s">
        <v>60</v>
      </c>
      <c r="E19" s="38" t="s">
        <v>65</v>
      </c>
      <c r="F19" s="38" t="s">
        <v>63</v>
      </c>
      <c r="G19" s="38" t="s">
        <v>40</v>
      </c>
      <c r="H19" s="39" t="s">
        <v>79</v>
      </c>
      <c r="I19" s="39" t="s">
        <v>424</v>
      </c>
      <c r="J19" s="39" t="s">
        <v>53</v>
      </c>
      <c r="K19" s="39" t="s">
        <v>57</v>
      </c>
      <c r="L19" s="38" t="s">
        <v>53</v>
      </c>
      <c r="M19" s="39"/>
      <c r="N19" s="39"/>
      <c r="O19" s="38"/>
      <c r="P19" s="38"/>
      <c r="Q19" s="38"/>
      <c r="R19" s="38"/>
      <c r="S19" s="38"/>
      <c r="T19" s="38"/>
    </row>
    <row r="20" ht="22.5" customHeight="1">
      <c r="A20" s="38" t="s">
        <v>67</v>
      </c>
      <c r="B20" s="38" t="s">
        <v>25</v>
      </c>
      <c r="C20" s="38" t="s">
        <v>61</v>
      </c>
      <c r="D20" s="38" t="s">
        <v>60</v>
      </c>
      <c r="E20" s="38" t="s">
        <v>65</v>
      </c>
      <c r="F20" s="38" t="s">
        <v>63</v>
      </c>
      <c r="G20" s="38" t="s">
        <v>40</v>
      </c>
      <c r="H20" s="39" t="s">
        <v>79</v>
      </c>
      <c r="I20" s="39" t="s">
        <v>330</v>
      </c>
      <c r="J20" s="39" t="s">
        <v>408</v>
      </c>
      <c r="K20" s="39">
        <v>1.0</v>
      </c>
      <c r="L20" s="38" t="s">
        <v>53</v>
      </c>
      <c r="M20" s="39" t="s">
        <v>57</v>
      </c>
      <c r="N20" s="39" t="s">
        <v>53</v>
      </c>
      <c r="O20" s="38"/>
      <c r="P20" s="38"/>
      <c r="Q20" s="38"/>
      <c r="R20" s="38"/>
      <c r="S20" s="38"/>
      <c r="T20" s="38"/>
    </row>
    <row r="21" ht="22.5" customHeight="1">
      <c r="A21" s="38" t="s">
        <v>70</v>
      </c>
      <c r="B21" s="38" t="s">
        <v>25</v>
      </c>
      <c r="C21" s="38" t="s">
        <v>61</v>
      </c>
      <c r="D21" s="38" t="s">
        <v>60</v>
      </c>
      <c r="E21" s="38" t="s">
        <v>65</v>
      </c>
      <c r="F21" s="38" t="s">
        <v>63</v>
      </c>
      <c r="G21" s="38" t="s">
        <v>40</v>
      </c>
      <c r="H21" s="39" t="s">
        <v>79</v>
      </c>
      <c r="I21" s="39" t="s">
        <v>330</v>
      </c>
      <c r="J21" s="39" t="s">
        <v>410</v>
      </c>
      <c r="K21" s="39">
        <v>1.0</v>
      </c>
      <c r="L21" s="38" t="s">
        <v>53</v>
      </c>
      <c r="M21" s="39" t="s">
        <v>57</v>
      </c>
      <c r="N21" s="39" t="s">
        <v>53</v>
      </c>
      <c r="O21" s="38"/>
      <c r="P21" s="38"/>
      <c r="Q21" s="38"/>
      <c r="R21" s="38"/>
      <c r="S21" s="38"/>
      <c r="T21" s="38"/>
    </row>
    <row r="22" ht="22.5" customHeight="1">
      <c r="A22" s="38" t="s">
        <v>74</v>
      </c>
      <c r="B22" s="38" t="s">
        <v>25</v>
      </c>
      <c r="C22" s="38" t="s">
        <v>61</v>
      </c>
      <c r="D22" s="38" t="s">
        <v>60</v>
      </c>
      <c r="E22" s="38" t="s">
        <v>65</v>
      </c>
      <c r="F22" s="38" t="s">
        <v>63</v>
      </c>
      <c r="G22" s="38" t="s">
        <v>40</v>
      </c>
      <c r="H22" s="39" t="s">
        <v>79</v>
      </c>
      <c r="I22" s="39" t="s">
        <v>330</v>
      </c>
      <c r="J22" s="39" t="s">
        <v>415</v>
      </c>
      <c r="K22" s="39">
        <v>1.0</v>
      </c>
      <c r="L22" s="38" t="s">
        <v>53</v>
      </c>
      <c r="M22" s="39" t="s">
        <v>57</v>
      </c>
      <c r="N22" s="39" t="s">
        <v>53</v>
      </c>
      <c r="O22" s="38"/>
      <c r="P22" s="38"/>
      <c r="Q22" s="38"/>
      <c r="R22" s="38"/>
      <c r="S22" s="38"/>
      <c r="T22" s="38"/>
    </row>
    <row r="23" ht="22.5" customHeight="1">
      <c r="A23" s="38" t="s">
        <v>76</v>
      </c>
      <c r="B23" s="38" t="s">
        <v>25</v>
      </c>
      <c r="C23" s="38" t="s">
        <v>61</v>
      </c>
      <c r="D23" s="38" t="s">
        <v>60</v>
      </c>
      <c r="E23" s="38" t="s">
        <v>65</v>
      </c>
      <c r="F23" s="38" t="s">
        <v>63</v>
      </c>
      <c r="G23" s="38" t="s">
        <v>40</v>
      </c>
      <c r="H23" s="39" t="s">
        <v>79</v>
      </c>
      <c r="I23" s="39" t="s">
        <v>330</v>
      </c>
      <c r="J23" s="39" t="s">
        <v>417</v>
      </c>
      <c r="K23" s="39">
        <v>1.0</v>
      </c>
      <c r="L23" s="38" t="s">
        <v>53</v>
      </c>
      <c r="M23" s="39" t="s">
        <v>57</v>
      </c>
      <c r="N23" s="39" t="s">
        <v>53</v>
      </c>
      <c r="O23" s="38"/>
      <c r="P23" s="38"/>
      <c r="Q23" s="38"/>
      <c r="R23" s="38"/>
      <c r="S23" s="38"/>
      <c r="T23" s="38"/>
    </row>
    <row r="24" ht="22.5" customHeight="1">
      <c r="A24" s="38" t="s">
        <v>78</v>
      </c>
      <c r="B24" s="38" t="s">
        <v>25</v>
      </c>
      <c r="C24" s="38" t="s">
        <v>61</v>
      </c>
      <c r="D24" s="38" t="s">
        <v>60</v>
      </c>
      <c r="E24" s="38" t="s">
        <v>65</v>
      </c>
      <c r="F24" s="38" t="s">
        <v>63</v>
      </c>
      <c r="G24" s="38" t="s">
        <v>40</v>
      </c>
      <c r="H24" s="39" t="s">
        <v>79</v>
      </c>
      <c r="I24" s="39" t="s">
        <v>330</v>
      </c>
      <c r="J24" s="39" t="s">
        <v>418</v>
      </c>
      <c r="K24" s="39">
        <v>1.0</v>
      </c>
      <c r="L24" s="38" t="s">
        <v>53</v>
      </c>
      <c r="M24" s="39" t="s">
        <v>57</v>
      </c>
      <c r="N24" s="39" t="s">
        <v>53</v>
      </c>
      <c r="O24" s="38"/>
      <c r="P24" s="38"/>
      <c r="Q24" s="38"/>
      <c r="R24" s="38"/>
      <c r="S24" s="38"/>
      <c r="T24" s="38"/>
    </row>
    <row r="25" ht="22.5" customHeight="1">
      <c r="A25" s="38" t="s">
        <v>81</v>
      </c>
      <c r="B25" s="38" t="s">
        <v>25</v>
      </c>
      <c r="C25" s="38" t="s">
        <v>61</v>
      </c>
      <c r="D25" s="38" t="s">
        <v>60</v>
      </c>
      <c r="E25" s="38" t="s">
        <v>65</v>
      </c>
      <c r="F25" s="38" t="s">
        <v>63</v>
      </c>
      <c r="G25" s="38" t="s">
        <v>40</v>
      </c>
      <c r="H25" s="39" t="s">
        <v>79</v>
      </c>
      <c r="I25" s="39" t="s">
        <v>330</v>
      </c>
      <c r="J25" s="39" t="s">
        <v>214</v>
      </c>
      <c r="K25" s="39">
        <v>1.0</v>
      </c>
      <c r="L25" s="38" t="s">
        <v>53</v>
      </c>
      <c r="M25" s="39" t="s">
        <v>57</v>
      </c>
      <c r="N25" s="39" t="s">
        <v>53</v>
      </c>
      <c r="O25" s="38"/>
      <c r="P25" s="38"/>
      <c r="Q25" s="38"/>
      <c r="R25" s="38"/>
      <c r="S25" s="38"/>
      <c r="T25" s="38"/>
    </row>
    <row r="26" ht="22.5" customHeight="1">
      <c r="A26" s="38" t="s">
        <v>83</v>
      </c>
      <c r="B26" s="38" t="s">
        <v>25</v>
      </c>
      <c r="C26" s="38" t="s">
        <v>61</v>
      </c>
      <c r="D26" s="38" t="s">
        <v>60</v>
      </c>
      <c r="E26" s="38" t="s">
        <v>65</v>
      </c>
      <c r="F26" s="38" t="s">
        <v>63</v>
      </c>
      <c r="G26" s="38" t="s">
        <v>40</v>
      </c>
      <c r="H26" s="39" t="s">
        <v>79</v>
      </c>
      <c r="I26" s="39" t="s">
        <v>330</v>
      </c>
      <c r="J26" s="39" t="s">
        <v>215</v>
      </c>
      <c r="K26" s="39">
        <v>1.0</v>
      </c>
      <c r="L26" s="38" t="s">
        <v>53</v>
      </c>
      <c r="M26" s="39" t="s">
        <v>57</v>
      </c>
      <c r="N26" s="39" t="s">
        <v>53</v>
      </c>
      <c r="O26" s="38"/>
      <c r="P26" s="38"/>
      <c r="Q26" s="38"/>
      <c r="R26" s="38"/>
      <c r="S26" s="38"/>
      <c r="T26" s="38"/>
    </row>
    <row r="27" ht="22.5" customHeight="1">
      <c r="A27" s="38" t="s">
        <v>85</v>
      </c>
      <c r="B27" s="38" t="s">
        <v>25</v>
      </c>
      <c r="C27" s="38" t="s">
        <v>61</v>
      </c>
      <c r="D27" s="38" t="s">
        <v>60</v>
      </c>
      <c r="E27" s="38" t="s">
        <v>65</v>
      </c>
      <c r="F27" s="38" t="s">
        <v>63</v>
      </c>
      <c r="G27" s="38" t="s">
        <v>40</v>
      </c>
      <c r="H27" s="39" t="s">
        <v>79</v>
      </c>
      <c r="I27" s="39" t="s">
        <v>330</v>
      </c>
      <c r="J27" s="39" t="s">
        <v>53</v>
      </c>
      <c r="K27" s="39" t="s">
        <v>57</v>
      </c>
      <c r="L27" s="38" t="s">
        <v>53</v>
      </c>
      <c r="M27" s="39"/>
      <c r="N27" s="39"/>
      <c r="O27" s="38"/>
      <c r="P27" s="38"/>
      <c r="Q27" s="38"/>
      <c r="R27" s="38"/>
      <c r="S27" s="38"/>
      <c r="T27" s="38"/>
    </row>
    <row r="28" ht="22.5" customHeight="1">
      <c r="A28" s="38" t="s">
        <v>88</v>
      </c>
      <c r="B28" s="38" t="s">
        <v>25</v>
      </c>
      <c r="C28" s="38" t="s">
        <v>61</v>
      </c>
      <c r="D28" s="38" t="s">
        <v>60</v>
      </c>
      <c r="E28" s="38" t="s">
        <v>65</v>
      </c>
      <c r="F28" s="38" t="s">
        <v>63</v>
      </c>
      <c r="G28" s="38" t="s">
        <v>40</v>
      </c>
      <c r="H28" s="39" t="s">
        <v>79</v>
      </c>
      <c r="I28" s="39">
        <v>13.0</v>
      </c>
      <c r="J28" s="39" t="s">
        <v>408</v>
      </c>
      <c r="K28" s="39">
        <v>1.0</v>
      </c>
      <c r="L28" s="38" t="s">
        <v>53</v>
      </c>
      <c r="M28" s="39" t="s">
        <v>57</v>
      </c>
      <c r="N28" s="39" t="s">
        <v>53</v>
      </c>
      <c r="O28" s="38"/>
      <c r="P28" s="38"/>
      <c r="Q28" s="38"/>
      <c r="R28" s="38"/>
      <c r="S28" s="38"/>
      <c r="T28" s="38"/>
    </row>
    <row r="29" ht="22.5" customHeight="1">
      <c r="A29" s="38" t="s">
        <v>90</v>
      </c>
      <c r="B29" s="38" t="s">
        <v>25</v>
      </c>
      <c r="C29" s="38" t="s">
        <v>61</v>
      </c>
      <c r="D29" s="38" t="s">
        <v>60</v>
      </c>
      <c r="E29" s="38" t="s">
        <v>65</v>
      </c>
      <c r="F29" s="38" t="s">
        <v>63</v>
      </c>
      <c r="G29" s="38" t="s">
        <v>40</v>
      </c>
      <c r="H29" s="39" t="s">
        <v>79</v>
      </c>
      <c r="I29" s="39">
        <v>13.0</v>
      </c>
      <c r="J29" s="39" t="s">
        <v>410</v>
      </c>
      <c r="K29" s="39">
        <v>1.0</v>
      </c>
      <c r="L29" s="38" t="s">
        <v>53</v>
      </c>
      <c r="M29" s="39" t="s">
        <v>57</v>
      </c>
      <c r="N29" s="39" t="s">
        <v>53</v>
      </c>
      <c r="O29" s="38"/>
      <c r="P29" s="38"/>
      <c r="Q29" s="38"/>
      <c r="R29" s="38"/>
      <c r="S29" s="38"/>
      <c r="T29" s="38"/>
    </row>
    <row r="30" ht="22.5" customHeight="1">
      <c r="A30" s="38" t="s">
        <v>92</v>
      </c>
      <c r="B30" s="38" t="s">
        <v>25</v>
      </c>
      <c r="C30" s="38" t="s">
        <v>61</v>
      </c>
      <c r="D30" s="38" t="s">
        <v>60</v>
      </c>
      <c r="E30" s="38" t="s">
        <v>65</v>
      </c>
      <c r="F30" s="38" t="s">
        <v>63</v>
      </c>
      <c r="G30" s="38" t="s">
        <v>40</v>
      </c>
      <c r="H30" s="39" t="s">
        <v>79</v>
      </c>
      <c r="I30" s="39">
        <v>13.0</v>
      </c>
      <c r="J30" s="39" t="s">
        <v>415</v>
      </c>
      <c r="K30" s="39">
        <v>1.0</v>
      </c>
      <c r="L30" s="38" t="s">
        <v>53</v>
      </c>
      <c r="M30" s="39" t="s">
        <v>57</v>
      </c>
      <c r="N30" s="39" t="s">
        <v>53</v>
      </c>
      <c r="O30" s="38"/>
      <c r="P30" s="38"/>
      <c r="Q30" s="38"/>
      <c r="R30" s="38"/>
      <c r="S30" s="38"/>
      <c r="T30" s="38"/>
    </row>
    <row r="31" ht="22.5" customHeight="1">
      <c r="A31" s="38" t="s">
        <v>96</v>
      </c>
      <c r="B31" s="38" t="s">
        <v>25</v>
      </c>
      <c r="C31" s="38" t="s">
        <v>61</v>
      </c>
      <c r="D31" s="38" t="s">
        <v>60</v>
      </c>
      <c r="E31" s="38" t="s">
        <v>65</v>
      </c>
      <c r="F31" s="38" t="s">
        <v>63</v>
      </c>
      <c r="G31" s="38" t="s">
        <v>40</v>
      </c>
      <c r="H31" s="39" t="s">
        <v>79</v>
      </c>
      <c r="I31" s="39">
        <v>13.0</v>
      </c>
      <c r="J31" s="39" t="s">
        <v>417</v>
      </c>
      <c r="K31" s="39">
        <v>1.0</v>
      </c>
      <c r="L31" s="38" t="s">
        <v>53</v>
      </c>
      <c r="M31" s="39" t="s">
        <v>57</v>
      </c>
      <c r="N31" s="39" t="s">
        <v>53</v>
      </c>
      <c r="O31" s="38"/>
      <c r="P31" s="38"/>
      <c r="Q31" s="38"/>
      <c r="R31" s="38"/>
      <c r="S31" s="38"/>
      <c r="T31" s="38"/>
    </row>
    <row r="32" ht="22.5" customHeight="1">
      <c r="A32" s="38" t="s">
        <v>99</v>
      </c>
      <c r="B32" s="38" t="s">
        <v>25</v>
      </c>
      <c r="C32" s="38" t="s">
        <v>61</v>
      </c>
      <c r="D32" s="38" t="s">
        <v>60</v>
      </c>
      <c r="E32" s="38" t="s">
        <v>65</v>
      </c>
      <c r="F32" s="38" t="s">
        <v>63</v>
      </c>
      <c r="G32" s="38" t="s">
        <v>40</v>
      </c>
      <c r="H32" s="39" t="s">
        <v>79</v>
      </c>
      <c r="I32" s="39">
        <v>13.0</v>
      </c>
      <c r="J32" s="39" t="s">
        <v>418</v>
      </c>
      <c r="K32" s="39">
        <v>1.0</v>
      </c>
      <c r="L32" s="38" t="s">
        <v>53</v>
      </c>
      <c r="M32" s="39" t="s">
        <v>57</v>
      </c>
      <c r="N32" s="39" t="s">
        <v>53</v>
      </c>
      <c r="O32" s="38"/>
      <c r="P32" s="38"/>
      <c r="Q32" s="38"/>
      <c r="R32" s="38"/>
      <c r="S32" s="38"/>
      <c r="T32" s="38"/>
    </row>
    <row r="33" ht="22.5" customHeight="1">
      <c r="A33" s="38" t="s">
        <v>102</v>
      </c>
      <c r="B33" s="38" t="s">
        <v>25</v>
      </c>
      <c r="C33" s="38" t="s">
        <v>61</v>
      </c>
      <c r="D33" s="38" t="s">
        <v>60</v>
      </c>
      <c r="E33" s="38" t="s">
        <v>65</v>
      </c>
      <c r="F33" s="38" t="s">
        <v>63</v>
      </c>
      <c r="G33" s="38" t="s">
        <v>40</v>
      </c>
      <c r="H33" s="39" t="s">
        <v>79</v>
      </c>
      <c r="I33" s="39">
        <v>13.0</v>
      </c>
      <c r="J33" s="39" t="s">
        <v>214</v>
      </c>
      <c r="K33" s="39">
        <v>1.0</v>
      </c>
      <c r="L33" s="38" t="s">
        <v>53</v>
      </c>
      <c r="M33" s="39" t="s">
        <v>57</v>
      </c>
      <c r="N33" s="39" t="s">
        <v>53</v>
      </c>
      <c r="O33" s="38"/>
      <c r="P33" s="38"/>
      <c r="Q33" s="38"/>
      <c r="R33" s="38"/>
      <c r="S33" s="38"/>
      <c r="T33" s="38"/>
    </row>
    <row r="34" ht="22.5" customHeight="1">
      <c r="A34" s="38" t="s">
        <v>104</v>
      </c>
      <c r="B34" s="38" t="s">
        <v>25</v>
      </c>
      <c r="C34" s="38" t="s">
        <v>61</v>
      </c>
      <c r="D34" s="38" t="s">
        <v>60</v>
      </c>
      <c r="E34" s="38" t="s">
        <v>65</v>
      </c>
      <c r="F34" s="38" t="s">
        <v>63</v>
      </c>
      <c r="G34" s="38" t="s">
        <v>40</v>
      </c>
      <c r="H34" s="39" t="s">
        <v>79</v>
      </c>
      <c r="I34" s="39">
        <v>13.0</v>
      </c>
      <c r="J34" s="39" t="s">
        <v>215</v>
      </c>
      <c r="K34" s="39">
        <v>1.0</v>
      </c>
      <c r="L34" s="38" t="s">
        <v>53</v>
      </c>
      <c r="M34" s="39" t="s">
        <v>57</v>
      </c>
      <c r="N34" s="39" t="s">
        <v>53</v>
      </c>
      <c r="O34" s="38"/>
      <c r="P34" s="38"/>
      <c r="Q34" s="38"/>
      <c r="R34" s="38"/>
      <c r="S34" s="38"/>
      <c r="T34" s="38"/>
    </row>
    <row r="35" ht="22.5" customHeight="1">
      <c r="A35" s="38" t="s">
        <v>106</v>
      </c>
      <c r="B35" s="38" t="s">
        <v>25</v>
      </c>
      <c r="C35" s="38" t="s">
        <v>61</v>
      </c>
      <c r="D35" s="38" t="s">
        <v>60</v>
      </c>
      <c r="E35" s="38" t="s">
        <v>65</v>
      </c>
      <c r="F35" s="38" t="s">
        <v>63</v>
      </c>
      <c r="G35" s="38" t="s">
        <v>40</v>
      </c>
      <c r="H35" s="39" t="s">
        <v>79</v>
      </c>
      <c r="I35" s="39">
        <v>13.0</v>
      </c>
      <c r="J35" s="39" t="s">
        <v>53</v>
      </c>
      <c r="K35" s="39" t="s">
        <v>57</v>
      </c>
      <c r="L35" s="38" t="s">
        <v>53</v>
      </c>
      <c r="M35" s="39"/>
      <c r="N35" s="39"/>
      <c r="O35" s="38"/>
      <c r="P35" s="38"/>
      <c r="Q35" s="38"/>
      <c r="R35" s="38"/>
      <c r="S35" s="38"/>
      <c r="T35" s="38"/>
    </row>
    <row r="36" ht="22.5" customHeight="1">
      <c r="A36" s="38" t="s">
        <v>249</v>
      </c>
      <c r="B36" s="38" t="s">
        <v>25</v>
      </c>
      <c r="C36" s="38" t="s">
        <v>61</v>
      </c>
      <c r="D36" s="38" t="s">
        <v>60</v>
      </c>
      <c r="E36" s="38" t="s">
        <v>65</v>
      </c>
      <c r="F36" s="38" t="s">
        <v>63</v>
      </c>
      <c r="G36" s="38" t="s">
        <v>40</v>
      </c>
      <c r="H36" s="39" t="s">
        <v>79</v>
      </c>
      <c r="I36" s="39" t="s">
        <v>429</v>
      </c>
      <c r="J36" s="39" t="s">
        <v>408</v>
      </c>
      <c r="K36" s="39">
        <v>1.0</v>
      </c>
      <c r="L36" s="38" t="s">
        <v>53</v>
      </c>
      <c r="M36" s="39" t="s">
        <v>57</v>
      </c>
      <c r="N36" s="39" t="s">
        <v>53</v>
      </c>
      <c r="O36" s="38"/>
      <c r="P36" s="38"/>
      <c r="Q36" s="38"/>
      <c r="R36" s="38"/>
      <c r="S36" s="38"/>
      <c r="T36" s="38"/>
    </row>
    <row r="37" ht="22.5" customHeight="1">
      <c r="A37" s="38" t="s">
        <v>111</v>
      </c>
      <c r="B37" s="38" t="s">
        <v>25</v>
      </c>
      <c r="C37" s="38" t="s">
        <v>61</v>
      </c>
      <c r="D37" s="38" t="s">
        <v>60</v>
      </c>
      <c r="E37" s="38" t="s">
        <v>65</v>
      </c>
      <c r="F37" s="38" t="s">
        <v>63</v>
      </c>
      <c r="G37" s="38" t="s">
        <v>40</v>
      </c>
      <c r="H37" s="39" t="s">
        <v>79</v>
      </c>
      <c r="I37" s="39" t="s">
        <v>429</v>
      </c>
      <c r="J37" s="39" t="s">
        <v>410</v>
      </c>
      <c r="K37" s="39">
        <v>1.0</v>
      </c>
      <c r="L37" s="38" t="s">
        <v>53</v>
      </c>
      <c r="M37" s="39" t="s">
        <v>57</v>
      </c>
      <c r="N37" s="39" t="s">
        <v>53</v>
      </c>
      <c r="O37" s="38"/>
      <c r="P37" s="38"/>
      <c r="Q37" s="38"/>
      <c r="R37" s="38"/>
      <c r="S37" s="38"/>
      <c r="T37" s="38"/>
    </row>
    <row r="38" ht="22.5" customHeight="1">
      <c r="A38" s="38" t="s">
        <v>251</v>
      </c>
      <c r="B38" s="38" t="s">
        <v>25</v>
      </c>
      <c r="C38" s="38" t="s">
        <v>61</v>
      </c>
      <c r="D38" s="38" t="s">
        <v>60</v>
      </c>
      <c r="E38" s="38" t="s">
        <v>65</v>
      </c>
      <c r="F38" s="38" t="s">
        <v>63</v>
      </c>
      <c r="G38" s="38" t="s">
        <v>40</v>
      </c>
      <c r="H38" s="39" t="s">
        <v>79</v>
      </c>
      <c r="I38" s="39" t="s">
        <v>429</v>
      </c>
      <c r="J38" s="39" t="s">
        <v>415</v>
      </c>
      <c r="K38" s="39">
        <v>1.0</v>
      </c>
      <c r="L38" s="38" t="s">
        <v>53</v>
      </c>
      <c r="M38" s="39" t="s">
        <v>57</v>
      </c>
      <c r="N38" s="39" t="s">
        <v>53</v>
      </c>
      <c r="O38" s="38"/>
      <c r="P38" s="38"/>
      <c r="Q38" s="38"/>
      <c r="R38" s="38"/>
      <c r="S38" s="38"/>
      <c r="T38" s="38"/>
    </row>
    <row r="39" ht="22.5" customHeight="1">
      <c r="A39" s="38" t="s">
        <v>117</v>
      </c>
      <c r="B39" s="38" t="s">
        <v>25</v>
      </c>
      <c r="C39" s="38" t="s">
        <v>61</v>
      </c>
      <c r="D39" s="38" t="s">
        <v>60</v>
      </c>
      <c r="E39" s="38" t="s">
        <v>65</v>
      </c>
      <c r="F39" s="38" t="s">
        <v>63</v>
      </c>
      <c r="G39" s="38" t="s">
        <v>40</v>
      </c>
      <c r="H39" s="39" t="s">
        <v>79</v>
      </c>
      <c r="I39" s="39" t="s">
        <v>429</v>
      </c>
      <c r="J39" s="39" t="s">
        <v>417</v>
      </c>
      <c r="K39" s="39">
        <v>1.0</v>
      </c>
      <c r="L39" s="38" t="s">
        <v>53</v>
      </c>
      <c r="M39" s="39" t="s">
        <v>57</v>
      </c>
      <c r="N39" s="39" t="s">
        <v>53</v>
      </c>
      <c r="O39" s="38"/>
      <c r="P39" s="38"/>
      <c r="Q39" s="38"/>
      <c r="R39" s="38"/>
      <c r="S39" s="38"/>
      <c r="T39" s="38"/>
    </row>
    <row r="40" ht="22.5" customHeight="1">
      <c r="A40" s="38" t="s">
        <v>119</v>
      </c>
      <c r="B40" s="38" t="s">
        <v>25</v>
      </c>
      <c r="C40" s="38" t="s">
        <v>61</v>
      </c>
      <c r="D40" s="38" t="s">
        <v>60</v>
      </c>
      <c r="E40" s="38" t="s">
        <v>65</v>
      </c>
      <c r="F40" s="38" t="s">
        <v>63</v>
      </c>
      <c r="G40" s="38" t="s">
        <v>40</v>
      </c>
      <c r="H40" s="39" t="s">
        <v>79</v>
      </c>
      <c r="I40" s="39" t="s">
        <v>429</v>
      </c>
      <c r="J40" s="39" t="s">
        <v>418</v>
      </c>
      <c r="K40" s="39">
        <v>1.0</v>
      </c>
      <c r="L40" s="38" t="s">
        <v>53</v>
      </c>
      <c r="M40" s="39" t="s">
        <v>57</v>
      </c>
      <c r="N40" s="39" t="s">
        <v>53</v>
      </c>
      <c r="O40" s="38"/>
      <c r="P40" s="38"/>
      <c r="Q40" s="38"/>
      <c r="R40" s="38"/>
      <c r="S40" s="38"/>
      <c r="T40" s="38"/>
    </row>
    <row r="41" ht="22.5" customHeight="1">
      <c r="A41" s="38" t="s">
        <v>121</v>
      </c>
      <c r="B41" s="38" t="s">
        <v>25</v>
      </c>
      <c r="C41" s="38" t="s">
        <v>61</v>
      </c>
      <c r="D41" s="38" t="s">
        <v>60</v>
      </c>
      <c r="E41" s="38" t="s">
        <v>65</v>
      </c>
      <c r="F41" s="38" t="s">
        <v>63</v>
      </c>
      <c r="G41" s="38" t="s">
        <v>40</v>
      </c>
      <c r="H41" s="39" t="s">
        <v>79</v>
      </c>
      <c r="I41" s="39" t="s">
        <v>429</v>
      </c>
      <c r="J41" s="39" t="s">
        <v>214</v>
      </c>
      <c r="K41" s="39">
        <v>1.0</v>
      </c>
      <c r="L41" s="38" t="s">
        <v>53</v>
      </c>
      <c r="M41" s="39" t="s">
        <v>57</v>
      </c>
      <c r="N41" s="39" t="s">
        <v>53</v>
      </c>
      <c r="O41" s="38"/>
      <c r="P41" s="38"/>
      <c r="Q41" s="38"/>
      <c r="R41" s="38"/>
      <c r="S41" s="38"/>
      <c r="T41" s="38"/>
    </row>
    <row r="42" ht="22.5" customHeight="1">
      <c r="A42" s="38" t="s">
        <v>124</v>
      </c>
      <c r="B42" s="38" t="s">
        <v>25</v>
      </c>
      <c r="C42" s="38" t="s">
        <v>61</v>
      </c>
      <c r="D42" s="38" t="s">
        <v>60</v>
      </c>
      <c r="E42" s="38" t="s">
        <v>65</v>
      </c>
      <c r="F42" s="38" t="s">
        <v>63</v>
      </c>
      <c r="G42" s="38" t="s">
        <v>40</v>
      </c>
      <c r="H42" s="39" t="s">
        <v>79</v>
      </c>
      <c r="I42" s="39" t="s">
        <v>429</v>
      </c>
      <c r="J42" s="39" t="s">
        <v>215</v>
      </c>
      <c r="K42" s="39">
        <v>1.0</v>
      </c>
      <c r="L42" s="38" t="s">
        <v>53</v>
      </c>
      <c r="M42" s="39" t="s">
        <v>57</v>
      </c>
      <c r="N42" s="39" t="s">
        <v>53</v>
      </c>
      <c r="O42" s="38"/>
      <c r="P42" s="38"/>
      <c r="Q42" s="38"/>
      <c r="R42" s="38"/>
      <c r="S42" s="38"/>
      <c r="T42" s="38"/>
    </row>
    <row r="43" ht="22.5" customHeight="1">
      <c r="A43" s="38" t="s">
        <v>126</v>
      </c>
      <c r="B43" s="38" t="s">
        <v>25</v>
      </c>
      <c r="C43" s="38" t="s">
        <v>61</v>
      </c>
      <c r="D43" s="38" t="s">
        <v>60</v>
      </c>
      <c r="E43" s="38" t="s">
        <v>65</v>
      </c>
      <c r="F43" s="38" t="s">
        <v>63</v>
      </c>
      <c r="G43" s="38" t="s">
        <v>40</v>
      </c>
      <c r="H43" s="39" t="s">
        <v>79</v>
      </c>
      <c r="I43" s="39" t="s">
        <v>429</v>
      </c>
      <c r="J43" s="39" t="s">
        <v>53</v>
      </c>
      <c r="K43" s="39" t="s">
        <v>57</v>
      </c>
      <c r="L43" s="38" t="s">
        <v>53</v>
      </c>
      <c r="M43" s="39"/>
      <c r="N43" s="39"/>
      <c r="O43" s="38"/>
      <c r="P43" s="38"/>
      <c r="Q43" s="38"/>
      <c r="R43" s="38"/>
      <c r="S43" s="38"/>
      <c r="T43" s="38"/>
    </row>
    <row r="44" ht="22.5" customHeight="1">
      <c r="A44" s="38" t="s">
        <v>130</v>
      </c>
      <c r="B44" s="38" t="s">
        <v>25</v>
      </c>
      <c r="C44" s="38" t="s">
        <v>61</v>
      </c>
      <c r="D44" s="38" t="s">
        <v>60</v>
      </c>
      <c r="E44" s="38" t="s">
        <v>65</v>
      </c>
      <c r="F44" s="38" t="s">
        <v>63</v>
      </c>
      <c r="G44" s="38" t="s">
        <v>40</v>
      </c>
      <c r="H44" s="39" t="s">
        <v>79</v>
      </c>
      <c r="I44" s="39" t="s">
        <v>116</v>
      </c>
      <c r="J44" s="39" t="s">
        <v>408</v>
      </c>
      <c r="K44" s="39">
        <v>1.0</v>
      </c>
      <c r="L44" s="38" t="s">
        <v>53</v>
      </c>
      <c r="M44" s="39" t="s">
        <v>57</v>
      </c>
      <c r="N44" s="39" t="s">
        <v>53</v>
      </c>
      <c r="O44" s="38"/>
      <c r="P44" s="38"/>
      <c r="Q44" s="38"/>
      <c r="R44" s="38"/>
      <c r="S44" s="38"/>
      <c r="T44" s="38"/>
    </row>
    <row r="45" ht="22.5" customHeight="1">
      <c r="A45" s="38" t="s">
        <v>132</v>
      </c>
      <c r="B45" s="38" t="s">
        <v>25</v>
      </c>
      <c r="C45" s="38" t="s">
        <v>61</v>
      </c>
      <c r="D45" s="38" t="s">
        <v>60</v>
      </c>
      <c r="E45" s="38" t="s">
        <v>65</v>
      </c>
      <c r="F45" s="38" t="s">
        <v>63</v>
      </c>
      <c r="G45" s="38" t="s">
        <v>40</v>
      </c>
      <c r="H45" s="39" t="s">
        <v>79</v>
      </c>
      <c r="I45" s="39" t="s">
        <v>116</v>
      </c>
      <c r="J45" s="39" t="s">
        <v>410</v>
      </c>
      <c r="K45" s="39">
        <v>1.0</v>
      </c>
      <c r="L45" s="38" t="s">
        <v>53</v>
      </c>
      <c r="M45" s="39" t="s">
        <v>57</v>
      </c>
      <c r="N45" s="39" t="s">
        <v>53</v>
      </c>
      <c r="O45" s="38"/>
      <c r="P45" s="38"/>
      <c r="Q45" s="38"/>
      <c r="R45" s="38"/>
      <c r="S45" s="38"/>
      <c r="T45" s="38"/>
    </row>
    <row r="46" ht="22.5" customHeight="1">
      <c r="A46" s="38" t="s">
        <v>134</v>
      </c>
      <c r="B46" s="38" t="s">
        <v>25</v>
      </c>
      <c r="C46" s="38" t="s">
        <v>61</v>
      </c>
      <c r="D46" s="38" t="s">
        <v>60</v>
      </c>
      <c r="E46" s="38" t="s">
        <v>65</v>
      </c>
      <c r="F46" s="38" t="s">
        <v>63</v>
      </c>
      <c r="G46" s="38" t="s">
        <v>40</v>
      </c>
      <c r="H46" s="39" t="s">
        <v>79</v>
      </c>
      <c r="I46" s="39" t="s">
        <v>116</v>
      </c>
      <c r="J46" s="39" t="s">
        <v>415</v>
      </c>
      <c r="K46" s="39">
        <v>1.0</v>
      </c>
      <c r="L46" s="38" t="s">
        <v>53</v>
      </c>
      <c r="M46" s="39" t="s">
        <v>57</v>
      </c>
      <c r="N46" s="39" t="s">
        <v>53</v>
      </c>
      <c r="O46" s="38"/>
      <c r="P46" s="38"/>
      <c r="Q46" s="38"/>
      <c r="R46" s="38"/>
      <c r="S46" s="38"/>
      <c r="T46" s="38"/>
    </row>
    <row r="47" ht="22.5" customHeight="1">
      <c r="A47" s="38" t="s">
        <v>136</v>
      </c>
      <c r="B47" s="38" t="s">
        <v>25</v>
      </c>
      <c r="C47" s="38" t="s">
        <v>61</v>
      </c>
      <c r="D47" s="38" t="s">
        <v>60</v>
      </c>
      <c r="E47" s="38" t="s">
        <v>65</v>
      </c>
      <c r="F47" s="38" t="s">
        <v>63</v>
      </c>
      <c r="G47" s="38" t="s">
        <v>40</v>
      </c>
      <c r="H47" s="39" t="s">
        <v>79</v>
      </c>
      <c r="I47" s="39" t="s">
        <v>116</v>
      </c>
      <c r="J47" s="39" t="s">
        <v>417</v>
      </c>
      <c r="K47" s="39">
        <v>1.0</v>
      </c>
      <c r="L47" s="38" t="s">
        <v>53</v>
      </c>
      <c r="M47" s="39" t="s">
        <v>57</v>
      </c>
      <c r="N47" s="39" t="s">
        <v>53</v>
      </c>
      <c r="O47" s="38"/>
      <c r="P47" s="38"/>
      <c r="Q47" s="38"/>
      <c r="R47" s="38"/>
      <c r="S47" s="38"/>
      <c r="T47" s="38"/>
    </row>
    <row r="48" ht="22.5" customHeight="1">
      <c r="A48" s="38" t="s">
        <v>138</v>
      </c>
      <c r="B48" s="38" t="s">
        <v>25</v>
      </c>
      <c r="C48" s="38" t="s">
        <v>61</v>
      </c>
      <c r="D48" s="38" t="s">
        <v>60</v>
      </c>
      <c r="E48" s="38" t="s">
        <v>65</v>
      </c>
      <c r="F48" s="38" t="s">
        <v>63</v>
      </c>
      <c r="G48" s="38" t="s">
        <v>40</v>
      </c>
      <c r="H48" s="39" t="s">
        <v>79</v>
      </c>
      <c r="I48" s="39" t="s">
        <v>116</v>
      </c>
      <c r="J48" s="39" t="s">
        <v>418</v>
      </c>
      <c r="K48" s="39">
        <v>1.0</v>
      </c>
      <c r="L48" s="38" t="s">
        <v>53</v>
      </c>
      <c r="M48" s="39" t="s">
        <v>57</v>
      </c>
      <c r="N48" s="39" t="s">
        <v>53</v>
      </c>
      <c r="O48" s="38"/>
      <c r="P48" s="38"/>
      <c r="Q48" s="38"/>
      <c r="R48" s="38"/>
      <c r="S48" s="38"/>
      <c r="T48" s="38"/>
    </row>
    <row r="49" ht="22.5" customHeight="1">
      <c r="A49" s="38" t="s">
        <v>140</v>
      </c>
      <c r="B49" s="38" t="s">
        <v>25</v>
      </c>
      <c r="C49" s="38" t="s">
        <v>61</v>
      </c>
      <c r="D49" s="38" t="s">
        <v>60</v>
      </c>
      <c r="E49" s="38" t="s">
        <v>65</v>
      </c>
      <c r="F49" s="38" t="s">
        <v>63</v>
      </c>
      <c r="G49" s="38" t="s">
        <v>40</v>
      </c>
      <c r="H49" s="39" t="s">
        <v>79</v>
      </c>
      <c r="I49" s="39" t="s">
        <v>116</v>
      </c>
      <c r="J49" s="39" t="s">
        <v>214</v>
      </c>
      <c r="K49" s="39">
        <v>1.0</v>
      </c>
      <c r="L49" s="38" t="s">
        <v>53</v>
      </c>
      <c r="M49" s="39" t="s">
        <v>57</v>
      </c>
      <c r="N49" s="39" t="s">
        <v>53</v>
      </c>
      <c r="O49" s="38"/>
      <c r="P49" s="38"/>
      <c r="Q49" s="38"/>
      <c r="R49" s="38"/>
      <c r="S49" s="38"/>
      <c r="T49" s="38"/>
    </row>
    <row r="50" ht="22.5" customHeight="1">
      <c r="A50" s="38" t="s">
        <v>142</v>
      </c>
      <c r="B50" s="38" t="s">
        <v>25</v>
      </c>
      <c r="C50" s="38" t="s">
        <v>61</v>
      </c>
      <c r="D50" s="38" t="s">
        <v>60</v>
      </c>
      <c r="E50" s="38" t="s">
        <v>65</v>
      </c>
      <c r="F50" s="38" t="s">
        <v>63</v>
      </c>
      <c r="G50" s="38" t="s">
        <v>40</v>
      </c>
      <c r="H50" s="39" t="s">
        <v>79</v>
      </c>
      <c r="I50" s="39" t="s">
        <v>116</v>
      </c>
      <c r="J50" s="39" t="s">
        <v>215</v>
      </c>
      <c r="K50" s="39">
        <v>1.0</v>
      </c>
      <c r="L50" s="38" t="s">
        <v>53</v>
      </c>
      <c r="M50" s="39" t="s">
        <v>57</v>
      </c>
      <c r="N50" s="39" t="s">
        <v>53</v>
      </c>
      <c r="O50" s="38"/>
      <c r="P50" s="38"/>
      <c r="Q50" s="38"/>
      <c r="R50" s="38"/>
      <c r="S50" s="38"/>
      <c r="T50" s="38"/>
    </row>
    <row r="51" ht="22.5" customHeight="1">
      <c r="A51" s="38" t="s">
        <v>144</v>
      </c>
      <c r="B51" s="38" t="s">
        <v>25</v>
      </c>
      <c r="C51" s="38" t="s">
        <v>61</v>
      </c>
      <c r="D51" s="38" t="s">
        <v>60</v>
      </c>
      <c r="E51" s="38" t="s">
        <v>65</v>
      </c>
      <c r="F51" s="38" t="s">
        <v>63</v>
      </c>
      <c r="G51" s="38" t="s">
        <v>40</v>
      </c>
      <c r="H51" s="39" t="s">
        <v>79</v>
      </c>
      <c r="I51" s="39" t="s">
        <v>116</v>
      </c>
      <c r="J51" s="39" t="s">
        <v>53</v>
      </c>
      <c r="K51" s="39" t="s">
        <v>57</v>
      </c>
      <c r="L51" s="38" t="s">
        <v>53</v>
      </c>
      <c r="M51" s="39"/>
      <c r="N51" s="39"/>
      <c r="O51" s="38"/>
      <c r="P51" s="38"/>
      <c r="Q51" s="38"/>
      <c r="R51" s="38"/>
      <c r="S51" s="38"/>
      <c r="T51" s="38"/>
    </row>
    <row r="52" ht="22.5" customHeight="1">
      <c r="A52" s="38" t="s">
        <v>146</v>
      </c>
      <c r="B52" s="38" t="s">
        <v>25</v>
      </c>
      <c r="C52" s="38" t="s">
        <v>61</v>
      </c>
      <c r="D52" s="38" t="s">
        <v>60</v>
      </c>
      <c r="E52" s="38" t="s">
        <v>65</v>
      </c>
      <c r="F52" s="38" t="s">
        <v>63</v>
      </c>
      <c r="G52" s="38" t="s">
        <v>40</v>
      </c>
      <c r="H52" s="39" t="s">
        <v>79</v>
      </c>
      <c r="I52" s="39" t="s">
        <v>114</v>
      </c>
      <c r="J52" s="39" t="s">
        <v>408</v>
      </c>
      <c r="K52" s="39">
        <v>1.0</v>
      </c>
      <c r="L52" s="38" t="s">
        <v>53</v>
      </c>
      <c r="M52" s="39" t="s">
        <v>57</v>
      </c>
      <c r="N52" s="39" t="s">
        <v>53</v>
      </c>
      <c r="O52" s="38"/>
      <c r="P52" s="38"/>
      <c r="Q52" s="38"/>
      <c r="R52" s="38"/>
      <c r="S52" s="38"/>
      <c r="T52" s="38"/>
    </row>
    <row r="53" ht="22.5" customHeight="1">
      <c r="A53" s="38" t="s">
        <v>148</v>
      </c>
      <c r="B53" s="38" t="s">
        <v>25</v>
      </c>
      <c r="C53" s="38" t="s">
        <v>61</v>
      </c>
      <c r="D53" s="38" t="s">
        <v>60</v>
      </c>
      <c r="E53" s="38" t="s">
        <v>65</v>
      </c>
      <c r="F53" s="38" t="s">
        <v>63</v>
      </c>
      <c r="G53" s="38" t="s">
        <v>40</v>
      </c>
      <c r="H53" s="39" t="s">
        <v>79</v>
      </c>
      <c r="I53" s="39" t="s">
        <v>114</v>
      </c>
      <c r="J53" s="39" t="s">
        <v>410</v>
      </c>
      <c r="K53" s="39">
        <v>1.0</v>
      </c>
      <c r="L53" s="38" t="s">
        <v>53</v>
      </c>
      <c r="M53" s="39" t="s">
        <v>57</v>
      </c>
      <c r="N53" s="39" t="s">
        <v>53</v>
      </c>
      <c r="O53" s="38"/>
      <c r="P53" s="38"/>
      <c r="Q53" s="38"/>
      <c r="R53" s="38"/>
      <c r="S53" s="38"/>
      <c r="T53" s="38"/>
    </row>
    <row r="54" ht="22.5" customHeight="1">
      <c r="A54" s="38" t="s">
        <v>150</v>
      </c>
      <c r="B54" s="38" t="s">
        <v>25</v>
      </c>
      <c r="C54" s="38" t="s">
        <v>61</v>
      </c>
      <c r="D54" s="38" t="s">
        <v>60</v>
      </c>
      <c r="E54" s="38" t="s">
        <v>65</v>
      </c>
      <c r="F54" s="38" t="s">
        <v>63</v>
      </c>
      <c r="G54" s="38" t="s">
        <v>40</v>
      </c>
      <c r="H54" s="39" t="s">
        <v>79</v>
      </c>
      <c r="I54" s="39" t="s">
        <v>114</v>
      </c>
      <c r="J54" s="39" t="s">
        <v>415</v>
      </c>
      <c r="K54" s="39">
        <v>1.0</v>
      </c>
      <c r="L54" s="38" t="s">
        <v>53</v>
      </c>
      <c r="M54" s="39" t="s">
        <v>57</v>
      </c>
      <c r="N54" s="39" t="s">
        <v>53</v>
      </c>
      <c r="O54" s="38"/>
      <c r="P54" s="38"/>
      <c r="Q54" s="38"/>
      <c r="R54" s="38"/>
      <c r="S54" s="38"/>
      <c r="T54" s="38"/>
    </row>
    <row r="55" ht="22.5" customHeight="1">
      <c r="A55" s="38" t="s">
        <v>153</v>
      </c>
      <c r="B55" s="38" t="s">
        <v>25</v>
      </c>
      <c r="C55" s="38" t="s">
        <v>61</v>
      </c>
      <c r="D55" s="38" t="s">
        <v>60</v>
      </c>
      <c r="E55" s="38" t="s">
        <v>65</v>
      </c>
      <c r="F55" s="38" t="s">
        <v>63</v>
      </c>
      <c r="G55" s="38" t="s">
        <v>40</v>
      </c>
      <c r="H55" s="39" t="s">
        <v>79</v>
      </c>
      <c r="I55" s="39" t="s">
        <v>114</v>
      </c>
      <c r="J55" s="39" t="s">
        <v>417</v>
      </c>
      <c r="K55" s="39">
        <v>1.0</v>
      </c>
      <c r="L55" s="38" t="s">
        <v>53</v>
      </c>
      <c r="M55" s="39" t="s">
        <v>57</v>
      </c>
      <c r="N55" s="39" t="s">
        <v>53</v>
      </c>
      <c r="O55" s="38"/>
      <c r="P55" s="38"/>
      <c r="Q55" s="38"/>
      <c r="R55" s="38"/>
      <c r="S55" s="38"/>
      <c r="T55" s="38"/>
    </row>
    <row r="56" ht="22.5" customHeight="1">
      <c r="A56" s="38" t="s">
        <v>156</v>
      </c>
      <c r="B56" s="38" t="s">
        <v>25</v>
      </c>
      <c r="C56" s="38" t="s">
        <v>61</v>
      </c>
      <c r="D56" s="38" t="s">
        <v>60</v>
      </c>
      <c r="E56" s="38" t="s">
        <v>65</v>
      </c>
      <c r="F56" s="38" t="s">
        <v>63</v>
      </c>
      <c r="G56" s="38" t="s">
        <v>40</v>
      </c>
      <c r="H56" s="39" t="s">
        <v>79</v>
      </c>
      <c r="I56" s="39" t="s">
        <v>114</v>
      </c>
      <c r="J56" s="39" t="s">
        <v>418</v>
      </c>
      <c r="K56" s="39">
        <v>1.0</v>
      </c>
      <c r="L56" s="38" t="s">
        <v>53</v>
      </c>
      <c r="M56" s="39" t="s">
        <v>57</v>
      </c>
      <c r="N56" s="39" t="s">
        <v>53</v>
      </c>
      <c r="O56" s="38"/>
      <c r="P56" s="38"/>
      <c r="Q56" s="38"/>
      <c r="R56" s="38"/>
      <c r="S56" s="38"/>
      <c r="T56" s="38"/>
    </row>
    <row r="57" ht="22.5" customHeight="1">
      <c r="A57" s="38" t="s">
        <v>158</v>
      </c>
      <c r="B57" s="38" t="s">
        <v>25</v>
      </c>
      <c r="C57" s="38" t="s">
        <v>61</v>
      </c>
      <c r="D57" s="38" t="s">
        <v>60</v>
      </c>
      <c r="E57" s="38" t="s">
        <v>65</v>
      </c>
      <c r="F57" s="38" t="s">
        <v>63</v>
      </c>
      <c r="G57" s="38" t="s">
        <v>40</v>
      </c>
      <c r="H57" s="39" t="s">
        <v>79</v>
      </c>
      <c r="I57" s="39" t="s">
        <v>114</v>
      </c>
      <c r="J57" s="39" t="s">
        <v>214</v>
      </c>
      <c r="K57" s="39">
        <v>1.0</v>
      </c>
      <c r="L57" s="38" t="s">
        <v>53</v>
      </c>
      <c r="M57" s="39" t="s">
        <v>57</v>
      </c>
      <c r="N57" s="39" t="s">
        <v>53</v>
      </c>
      <c r="O57" s="38"/>
      <c r="P57" s="38"/>
      <c r="Q57" s="38"/>
      <c r="R57" s="38"/>
      <c r="S57" s="38"/>
      <c r="T57" s="38"/>
    </row>
    <row r="58" ht="22.5" customHeight="1">
      <c r="A58" s="38" t="s">
        <v>160</v>
      </c>
      <c r="B58" s="38" t="s">
        <v>25</v>
      </c>
      <c r="C58" s="38" t="s">
        <v>61</v>
      </c>
      <c r="D58" s="38" t="s">
        <v>60</v>
      </c>
      <c r="E58" s="38" t="s">
        <v>65</v>
      </c>
      <c r="F58" s="38" t="s">
        <v>63</v>
      </c>
      <c r="G58" s="38" t="s">
        <v>40</v>
      </c>
      <c r="H58" s="39" t="s">
        <v>79</v>
      </c>
      <c r="I58" s="39" t="s">
        <v>114</v>
      </c>
      <c r="J58" s="39" t="s">
        <v>215</v>
      </c>
      <c r="K58" s="39">
        <v>1.0</v>
      </c>
      <c r="L58" s="38" t="s">
        <v>53</v>
      </c>
      <c r="M58" s="39" t="s">
        <v>57</v>
      </c>
      <c r="N58" s="39" t="s">
        <v>53</v>
      </c>
      <c r="O58" s="38"/>
      <c r="P58" s="38"/>
      <c r="Q58" s="38"/>
      <c r="R58" s="38"/>
      <c r="S58" s="38"/>
      <c r="T58" s="38"/>
    </row>
    <row r="59" ht="22.5" customHeight="1">
      <c r="A59" s="38" t="s">
        <v>162</v>
      </c>
      <c r="B59" s="38" t="s">
        <v>25</v>
      </c>
      <c r="C59" s="38" t="s">
        <v>61</v>
      </c>
      <c r="D59" s="38" t="s">
        <v>60</v>
      </c>
      <c r="E59" s="38" t="s">
        <v>65</v>
      </c>
      <c r="F59" s="38" t="s">
        <v>63</v>
      </c>
      <c r="G59" s="38" t="s">
        <v>40</v>
      </c>
      <c r="H59" s="39" t="s">
        <v>79</v>
      </c>
      <c r="I59" s="39" t="s">
        <v>114</v>
      </c>
      <c r="J59" s="39" t="s">
        <v>53</v>
      </c>
      <c r="K59" s="39" t="s">
        <v>57</v>
      </c>
      <c r="L59" s="38" t="s">
        <v>53</v>
      </c>
      <c r="M59" s="39"/>
      <c r="N59" s="39"/>
      <c r="O59" s="38"/>
      <c r="P59" s="38"/>
      <c r="Q59" s="38"/>
      <c r="R59" s="38"/>
      <c r="S59" s="38"/>
      <c r="T59" s="38"/>
    </row>
    <row r="60" ht="22.5" customHeight="1">
      <c r="A60" s="38" t="s">
        <v>270</v>
      </c>
      <c r="B60" s="38" t="s">
        <v>25</v>
      </c>
      <c r="C60" s="38" t="s">
        <v>61</v>
      </c>
      <c r="D60" s="38" t="s">
        <v>60</v>
      </c>
      <c r="E60" s="38" t="s">
        <v>65</v>
      </c>
      <c r="F60" s="38" t="s">
        <v>63</v>
      </c>
      <c r="G60" s="38" t="s">
        <v>40</v>
      </c>
      <c r="H60" s="39" t="s">
        <v>79</v>
      </c>
      <c r="I60" s="39" t="s">
        <v>211</v>
      </c>
      <c r="J60" s="39" t="s">
        <v>408</v>
      </c>
      <c r="K60" s="39">
        <v>1.0</v>
      </c>
      <c r="L60" s="38" t="s">
        <v>53</v>
      </c>
      <c r="M60" s="39" t="s">
        <v>57</v>
      </c>
      <c r="N60" s="39" t="s">
        <v>53</v>
      </c>
      <c r="O60" s="38"/>
      <c r="P60" s="38"/>
      <c r="Q60" s="38"/>
      <c r="R60" s="38"/>
      <c r="S60" s="38"/>
      <c r="T60" s="38"/>
    </row>
    <row r="61" ht="22.5" customHeight="1">
      <c r="A61" s="38" t="s">
        <v>272</v>
      </c>
      <c r="B61" s="38" t="s">
        <v>25</v>
      </c>
      <c r="C61" s="38" t="s">
        <v>61</v>
      </c>
      <c r="D61" s="38" t="s">
        <v>60</v>
      </c>
      <c r="E61" s="38" t="s">
        <v>65</v>
      </c>
      <c r="F61" s="38" t="s">
        <v>63</v>
      </c>
      <c r="G61" s="38" t="s">
        <v>40</v>
      </c>
      <c r="H61" s="39" t="s">
        <v>79</v>
      </c>
      <c r="I61" s="39" t="s">
        <v>211</v>
      </c>
      <c r="J61" s="39" t="s">
        <v>410</v>
      </c>
      <c r="K61" s="39">
        <v>1.0</v>
      </c>
      <c r="L61" s="38" t="s">
        <v>53</v>
      </c>
      <c r="M61" s="39" t="s">
        <v>57</v>
      </c>
      <c r="N61" s="39" t="s">
        <v>53</v>
      </c>
      <c r="O61" s="38"/>
      <c r="P61" s="38"/>
      <c r="Q61" s="38"/>
      <c r="R61" s="38"/>
      <c r="S61" s="38"/>
      <c r="T61" s="38"/>
    </row>
    <row r="62" ht="22.5" customHeight="1">
      <c r="A62" s="38" t="s">
        <v>274</v>
      </c>
      <c r="B62" s="38" t="s">
        <v>25</v>
      </c>
      <c r="C62" s="38" t="s">
        <v>61</v>
      </c>
      <c r="D62" s="38" t="s">
        <v>60</v>
      </c>
      <c r="E62" s="38" t="s">
        <v>65</v>
      </c>
      <c r="F62" s="38" t="s">
        <v>63</v>
      </c>
      <c r="G62" s="38" t="s">
        <v>40</v>
      </c>
      <c r="H62" s="39" t="s">
        <v>79</v>
      </c>
      <c r="I62" s="39" t="s">
        <v>211</v>
      </c>
      <c r="J62" s="39" t="s">
        <v>415</v>
      </c>
      <c r="K62" s="39">
        <v>1.0</v>
      </c>
      <c r="L62" s="38" t="s">
        <v>53</v>
      </c>
      <c r="M62" s="39" t="s">
        <v>57</v>
      </c>
      <c r="N62" s="39" t="s">
        <v>53</v>
      </c>
      <c r="O62" s="38"/>
      <c r="P62" s="38"/>
      <c r="Q62" s="38"/>
      <c r="R62" s="38"/>
      <c r="S62" s="38"/>
      <c r="T62" s="38"/>
    </row>
    <row r="63" ht="22.5" customHeight="1">
      <c r="A63" s="38" t="s">
        <v>276</v>
      </c>
      <c r="B63" s="38" t="s">
        <v>25</v>
      </c>
      <c r="C63" s="38" t="s">
        <v>61</v>
      </c>
      <c r="D63" s="38" t="s">
        <v>60</v>
      </c>
      <c r="E63" s="38" t="s">
        <v>65</v>
      </c>
      <c r="F63" s="38" t="s">
        <v>63</v>
      </c>
      <c r="G63" s="38" t="s">
        <v>40</v>
      </c>
      <c r="H63" s="39" t="s">
        <v>79</v>
      </c>
      <c r="I63" s="39" t="s">
        <v>211</v>
      </c>
      <c r="J63" s="39" t="s">
        <v>417</v>
      </c>
      <c r="K63" s="39">
        <v>1.0</v>
      </c>
      <c r="L63" s="38" t="s">
        <v>53</v>
      </c>
      <c r="M63" s="39" t="s">
        <v>57</v>
      </c>
      <c r="N63" s="39" t="s">
        <v>53</v>
      </c>
      <c r="O63" s="38"/>
      <c r="P63" s="38"/>
      <c r="Q63" s="38"/>
      <c r="R63" s="38"/>
      <c r="S63" s="38"/>
      <c r="T63" s="38"/>
    </row>
    <row r="64" ht="22.5" customHeight="1">
      <c r="A64" s="38" t="s">
        <v>278</v>
      </c>
      <c r="B64" s="38" t="s">
        <v>25</v>
      </c>
      <c r="C64" s="38" t="s">
        <v>61</v>
      </c>
      <c r="D64" s="38" t="s">
        <v>60</v>
      </c>
      <c r="E64" s="38" t="s">
        <v>65</v>
      </c>
      <c r="F64" s="38" t="s">
        <v>63</v>
      </c>
      <c r="G64" s="38" t="s">
        <v>40</v>
      </c>
      <c r="H64" s="39" t="s">
        <v>79</v>
      </c>
      <c r="I64" s="39" t="s">
        <v>211</v>
      </c>
      <c r="J64" s="39" t="s">
        <v>418</v>
      </c>
      <c r="K64" s="39">
        <v>1.0</v>
      </c>
      <c r="L64" s="38" t="s">
        <v>53</v>
      </c>
      <c r="M64" s="39" t="s">
        <v>57</v>
      </c>
      <c r="N64" s="39" t="s">
        <v>53</v>
      </c>
      <c r="O64" s="38"/>
      <c r="P64" s="38"/>
      <c r="Q64" s="38"/>
      <c r="R64" s="38"/>
      <c r="S64" s="38"/>
      <c r="T64" s="38"/>
    </row>
    <row r="65" ht="22.5" customHeight="1">
      <c r="A65" s="38" t="s">
        <v>280</v>
      </c>
      <c r="B65" s="38" t="s">
        <v>25</v>
      </c>
      <c r="C65" s="38" t="s">
        <v>61</v>
      </c>
      <c r="D65" s="38" t="s">
        <v>60</v>
      </c>
      <c r="E65" s="38" t="s">
        <v>65</v>
      </c>
      <c r="F65" s="38" t="s">
        <v>63</v>
      </c>
      <c r="G65" s="38" t="s">
        <v>40</v>
      </c>
      <c r="H65" s="39" t="s">
        <v>79</v>
      </c>
      <c r="I65" s="39" t="s">
        <v>211</v>
      </c>
      <c r="J65" s="39" t="s">
        <v>214</v>
      </c>
      <c r="K65" s="39">
        <v>1.0</v>
      </c>
      <c r="L65" s="38" t="s">
        <v>53</v>
      </c>
      <c r="M65" s="39" t="s">
        <v>57</v>
      </c>
      <c r="N65" s="39" t="s">
        <v>53</v>
      </c>
      <c r="O65" s="38"/>
      <c r="P65" s="38"/>
      <c r="Q65" s="38"/>
      <c r="R65" s="38"/>
      <c r="S65" s="38"/>
      <c r="T65" s="38"/>
    </row>
    <row r="66" ht="22.5" customHeight="1">
      <c r="A66" s="38" t="s">
        <v>167</v>
      </c>
      <c r="B66" s="38" t="s">
        <v>25</v>
      </c>
      <c r="C66" s="38" t="s">
        <v>61</v>
      </c>
      <c r="D66" s="38" t="s">
        <v>60</v>
      </c>
      <c r="E66" s="38" t="s">
        <v>65</v>
      </c>
      <c r="F66" s="38" t="s">
        <v>63</v>
      </c>
      <c r="G66" s="38" t="s">
        <v>40</v>
      </c>
      <c r="H66" s="39" t="s">
        <v>79</v>
      </c>
      <c r="I66" s="39" t="s">
        <v>211</v>
      </c>
      <c r="J66" s="39" t="s">
        <v>215</v>
      </c>
      <c r="K66" s="39">
        <v>1.0</v>
      </c>
      <c r="L66" s="38" t="s">
        <v>53</v>
      </c>
      <c r="M66" s="39" t="s">
        <v>57</v>
      </c>
      <c r="N66" s="39" t="s">
        <v>53</v>
      </c>
      <c r="O66" s="38"/>
      <c r="P66" s="38"/>
      <c r="Q66" s="38"/>
      <c r="R66" s="38"/>
      <c r="S66" s="38"/>
      <c r="T66" s="38"/>
    </row>
    <row r="67" ht="22.5" customHeight="1">
      <c r="A67" s="38" t="s">
        <v>169</v>
      </c>
      <c r="B67" s="38" t="s">
        <v>25</v>
      </c>
      <c r="C67" s="38" t="s">
        <v>61</v>
      </c>
      <c r="D67" s="38" t="s">
        <v>60</v>
      </c>
      <c r="E67" s="38" t="s">
        <v>65</v>
      </c>
      <c r="F67" s="38" t="s">
        <v>63</v>
      </c>
      <c r="G67" s="38" t="s">
        <v>40</v>
      </c>
      <c r="H67" s="39" t="s">
        <v>79</v>
      </c>
      <c r="I67" s="39" t="s">
        <v>211</v>
      </c>
      <c r="J67" s="39" t="s">
        <v>53</v>
      </c>
      <c r="K67" s="39" t="s">
        <v>57</v>
      </c>
      <c r="L67" s="38" t="s">
        <v>53</v>
      </c>
      <c r="M67" s="39"/>
      <c r="N67" s="39"/>
      <c r="O67" s="38"/>
      <c r="P67" s="38"/>
      <c r="Q67" s="38"/>
      <c r="R67" s="38"/>
      <c r="S67" s="38"/>
      <c r="T67" s="38"/>
    </row>
    <row r="68" ht="22.5" customHeight="1">
      <c r="A68" s="38" t="s">
        <v>171</v>
      </c>
      <c r="B68" s="38" t="s">
        <v>25</v>
      </c>
      <c r="C68" s="38" t="s">
        <v>61</v>
      </c>
      <c r="D68" s="38" t="s">
        <v>60</v>
      </c>
      <c r="E68" s="38" t="s">
        <v>65</v>
      </c>
      <c r="F68" s="38" t="s">
        <v>63</v>
      </c>
      <c r="G68" s="38" t="s">
        <v>40</v>
      </c>
      <c r="H68" s="39" t="s">
        <v>79</v>
      </c>
      <c r="I68" s="39" t="s">
        <v>430</v>
      </c>
      <c r="J68" s="39" t="s">
        <v>408</v>
      </c>
      <c r="K68" s="39">
        <v>1.0</v>
      </c>
      <c r="L68" s="38" t="s">
        <v>53</v>
      </c>
      <c r="M68" s="39" t="s">
        <v>57</v>
      </c>
      <c r="N68" s="39" t="s">
        <v>53</v>
      </c>
      <c r="O68" s="38"/>
      <c r="P68" s="38"/>
      <c r="Q68" s="38"/>
      <c r="R68" s="38"/>
      <c r="S68" s="38"/>
      <c r="T68" s="38"/>
    </row>
    <row r="69" ht="22.5" customHeight="1">
      <c r="A69" s="38" t="s">
        <v>174</v>
      </c>
      <c r="B69" s="38" t="s">
        <v>25</v>
      </c>
      <c r="C69" s="38" t="s">
        <v>61</v>
      </c>
      <c r="D69" s="38" t="s">
        <v>60</v>
      </c>
      <c r="E69" s="38" t="s">
        <v>65</v>
      </c>
      <c r="F69" s="38" t="s">
        <v>63</v>
      </c>
      <c r="G69" s="38" t="s">
        <v>40</v>
      </c>
      <c r="H69" s="39" t="s">
        <v>79</v>
      </c>
      <c r="I69" s="39" t="s">
        <v>430</v>
      </c>
      <c r="J69" s="39" t="s">
        <v>410</v>
      </c>
      <c r="K69" s="39">
        <v>1.0</v>
      </c>
      <c r="L69" s="38" t="s">
        <v>53</v>
      </c>
      <c r="M69" s="39" t="s">
        <v>57</v>
      </c>
      <c r="N69" s="39" t="s">
        <v>53</v>
      </c>
      <c r="O69" s="38"/>
      <c r="P69" s="38"/>
      <c r="Q69" s="38"/>
      <c r="R69" s="38"/>
      <c r="S69" s="38"/>
      <c r="T69" s="38"/>
    </row>
    <row r="70" ht="22.5" customHeight="1">
      <c r="A70" s="38" t="s">
        <v>177</v>
      </c>
      <c r="B70" s="38" t="s">
        <v>25</v>
      </c>
      <c r="C70" s="38" t="s">
        <v>61</v>
      </c>
      <c r="D70" s="38" t="s">
        <v>60</v>
      </c>
      <c r="E70" s="38" t="s">
        <v>65</v>
      </c>
      <c r="F70" s="38" t="s">
        <v>63</v>
      </c>
      <c r="G70" s="38" t="s">
        <v>40</v>
      </c>
      <c r="H70" s="39" t="s">
        <v>79</v>
      </c>
      <c r="I70" s="39" t="s">
        <v>430</v>
      </c>
      <c r="J70" s="39" t="s">
        <v>415</v>
      </c>
      <c r="K70" s="39">
        <v>1.0</v>
      </c>
      <c r="L70" s="38" t="s">
        <v>53</v>
      </c>
      <c r="M70" s="39" t="s">
        <v>57</v>
      </c>
      <c r="N70" s="39" t="s">
        <v>53</v>
      </c>
      <c r="O70" s="38"/>
      <c r="P70" s="38"/>
      <c r="Q70" s="38"/>
      <c r="R70" s="38"/>
      <c r="S70" s="38"/>
      <c r="T70" s="38"/>
    </row>
    <row r="71" ht="22.5" customHeight="1">
      <c r="A71" s="38" t="s">
        <v>179</v>
      </c>
      <c r="B71" s="38" t="s">
        <v>25</v>
      </c>
      <c r="C71" s="38" t="s">
        <v>61</v>
      </c>
      <c r="D71" s="38" t="s">
        <v>60</v>
      </c>
      <c r="E71" s="38" t="s">
        <v>65</v>
      </c>
      <c r="F71" s="38" t="s">
        <v>63</v>
      </c>
      <c r="G71" s="38" t="s">
        <v>40</v>
      </c>
      <c r="H71" s="39" t="s">
        <v>79</v>
      </c>
      <c r="I71" s="39" t="s">
        <v>430</v>
      </c>
      <c r="J71" s="39" t="s">
        <v>417</v>
      </c>
      <c r="K71" s="39">
        <v>1.0</v>
      </c>
      <c r="L71" s="38" t="s">
        <v>53</v>
      </c>
      <c r="M71" s="39" t="s">
        <v>57</v>
      </c>
      <c r="N71" s="39" t="s">
        <v>53</v>
      </c>
      <c r="O71" s="38"/>
      <c r="P71" s="38"/>
      <c r="Q71" s="38"/>
      <c r="R71" s="38"/>
      <c r="S71" s="38"/>
      <c r="T71" s="38"/>
    </row>
    <row r="72" ht="22.5" customHeight="1">
      <c r="A72" s="38" t="s">
        <v>181</v>
      </c>
      <c r="B72" s="38" t="s">
        <v>25</v>
      </c>
      <c r="C72" s="38" t="s">
        <v>61</v>
      </c>
      <c r="D72" s="38" t="s">
        <v>60</v>
      </c>
      <c r="E72" s="38" t="s">
        <v>65</v>
      </c>
      <c r="F72" s="38" t="s">
        <v>63</v>
      </c>
      <c r="G72" s="38" t="s">
        <v>40</v>
      </c>
      <c r="H72" s="39" t="s">
        <v>79</v>
      </c>
      <c r="I72" s="39" t="s">
        <v>430</v>
      </c>
      <c r="J72" s="39" t="s">
        <v>418</v>
      </c>
      <c r="K72" s="39">
        <v>1.0</v>
      </c>
      <c r="L72" s="38" t="s">
        <v>53</v>
      </c>
      <c r="M72" s="39" t="s">
        <v>57</v>
      </c>
      <c r="N72" s="39" t="s">
        <v>53</v>
      </c>
      <c r="O72" s="38"/>
      <c r="P72" s="38"/>
      <c r="Q72" s="38"/>
      <c r="R72" s="38"/>
      <c r="S72" s="38"/>
      <c r="T72" s="38"/>
    </row>
    <row r="73" ht="22.5" customHeight="1">
      <c r="A73" s="38" t="s">
        <v>184</v>
      </c>
      <c r="B73" s="38" t="s">
        <v>25</v>
      </c>
      <c r="C73" s="38" t="s">
        <v>61</v>
      </c>
      <c r="D73" s="38" t="s">
        <v>60</v>
      </c>
      <c r="E73" s="38" t="s">
        <v>65</v>
      </c>
      <c r="F73" s="38" t="s">
        <v>63</v>
      </c>
      <c r="G73" s="38" t="s">
        <v>40</v>
      </c>
      <c r="H73" s="39" t="s">
        <v>79</v>
      </c>
      <c r="I73" s="39" t="s">
        <v>430</v>
      </c>
      <c r="J73" s="39" t="s">
        <v>214</v>
      </c>
      <c r="K73" s="39">
        <v>1.0</v>
      </c>
      <c r="L73" s="38" t="s">
        <v>53</v>
      </c>
      <c r="M73" s="39" t="s">
        <v>57</v>
      </c>
      <c r="N73" s="39" t="s">
        <v>53</v>
      </c>
      <c r="O73" s="38"/>
      <c r="P73" s="38"/>
      <c r="Q73" s="38"/>
      <c r="R73" s="38"/>
      <c r="S73" s="38"/>
      <c r="T73" s="38"/>
    </row>
    <row r="74" ht="22.5" customHeight="1">
      <c r="A74" s="38" t="s">
        <v>187</v>
      </c>
      <c r="B74" s="38" t="s">
        <v>25</v>
      </c>
      <c r="C74" s="38" t="s">
        <v>61</v>
      </c>
      <c r="D74" s="38" t="s">
        <v>60</v>
      </c>
      <c r="E74" s="38" t="s">
        <v>65</v>
      </c>
      <c r="F74" s="38" t="s">
        <v>63</v>
      </c>
      <c r="G74" s="38" t="s">
        <v>40</v>
      </c>
      <c r="H74" s="39" t="s">
        <v>79</v>
      </c>
      <c r="I74" s="39" t="s">
        <v>430</v>
      </c>
      <c r="J74" s="39" t="s">
        <v>215</v>
      </c>
      <c r="K74" s="39">
        <v>1.0</v>
      </c>
      <c r="L74" s="38" t="s">
        <v>53</v>
      </c>
      <c r="M74" s="39" t="s">
        <v>57</v>
      </c>
      <c r="N74" s="39" t="s">
        <v>53</v>
      </c>
      <c r="O74" s="38"/>
      <c r="P74" s="38"/>
      <c r="Q74" s="38"/>
      <c r="R74" s="38"/>
      <c r="S74" s="38"/>
      <c r="T74" s="38"/>
    </row>
    <row r="75" ht="22.5" customHeight="1">
      <c r="A75" s="38" t="s">
        <v>191</v>
      </c>
      <c r="B75" s="38" t="s">
        <v>25</v>
      </c>
      <c r="C75" s="38" t="s">
        <v>61</v>
      </c>
      <c r="D75" s="38" t="s">
        <v>60</v>
      </c>
      <c r="E75" s="38" t="s">
        <v>65</v>
      </c>
      <c r="F75" s="38" t="s">
        <v>63</v>
      </c>
      <c r="G75" s="38" t="s">
        <v>40</v>
      </c>
      <c r="H75" s="39" t="s">
        <v>79</v>
      </c>
      <c r="I75" s="39" t="s">
        <v>430</v>
      </c>
      <c r="J75" s="39" t="s">
        <v>53</v>
      </c>
      <c r="K75" s="39" t="s">
        <v>57</v>
      </c>
      <c r="L75" s="38" t="s">
        <v>53</v>
      </c>
      <c r="M75" s="39"/>
      <c r="N75" s="39"/>
      <c r="O75" s="38"/>
      <c r="P75" s="38"/>
      <c r="Q75" s="38"/>
      <c r="R75" s="38"/>
      <c r="S75" s="38"/>
      <c r="T75" s="38"/>
    </row>
    <row r="76" ht="22.5" customHeight="1">
      <c r="A76" s="38" t="s">
        <v>193</v>
      </c>
      <c r="B76" s="38" t="s">
        <v>25</v>
      </c>
      <c r="C76" s="38" t="s">
        <v>61</v>
      </c>
      <c r="D76" s="38" t="s">
        <v>60</v>
      </c>
      <c r="E76" s="38" t="s">
        <v>65</v>
      </c>
      <c r="F76" s="38" t="s">
        <v>63</v>
      </c>
      <c r="G76" s="38" t="s">
        <v>40</v>
      </c>
      <c r="H76" s="39" t="s">
        <v>79</v>
      </c>
      <c r="I76" s="39" t="s">
        <v>431</v>
      </c>
      <c r="J76" s="39" t="s">
        <v>408</v>
      </c>
      <c r="K76" s="39">
        <v>1.0</v>
      </c>
      <c r="L76" s="38" t="s">
        <v>53</v>
      </c>
      <c r="M76" s="39" t="s">
        <v>57</v>
      </c>
      <c r="N76" s="39" t="s">
        <v>53</v>
      </c>
      <c r="O76" s="38"/>
      <c r="P76" s="38"/>
      <c r="Q76" s="38"/>
      <c r="R76" s="38"/>
      <c r="S76" s="38"/>
      <c r="T76" s="38"/>
    </row>
    <row r="77" ht="22.5" customHeight="1">
      <c r="A77" s="38" t="s">
        <v>195</v>
      </c>
      <c r="B77" s="38" t="s">
        <v>25</v>
      </c>
      <c r="C77" s="38" t="s">
        <v>61</v>
      </c>
      <c r="D77" s="38" t="s">
        <v>60</v>
      </c>
      <c r="E77" s="38" t="s">
        <v>65</v>
      </c>
      <c r="F77" s="38" t="s">
        <v>63</v>
      </c>
      <c r="G77" s="38" t="s">
        <v>40</v>
      </c>
      <c r="H77" s="39" t="s">
        <v>79</v>
      </c>
      <c r="I77" s="39" t="s">
        <v>431</v>
      </c>
      <c r="J77" s="39" t="s">
        <v>410</v>
      </c>
      <c r="K77" s="39">
        <v>1.0</v>
      </c>
      <c r="L77" s="38" t="s">
        <v>53</v>
      </c>
      <c r="M77" s="39" t="s">
        <v>57</v>
      </c>
      <c r="N77" s="39" t="s">
        <v>53</v>
      </c>
      <c r="O77" s="38"/>
      <c r="P77" s="38"/>
      <c r="Q77" s="38"/>
      <c r="R77" s="38"/>
      <c r="S77" s="38"/>
      <c r="T77" s="38"/>
    </row>
    <row r="78" ht="22.5" customHeight="1">
      <c r="A78" s="38" t="s">
        <v>197</v>
      </c>
      <c r="B78" s="38" t="s">
        <v>25</v>
      </c>
      <c r="C78" s="38" t="s">
        <v>61</v>
      </c>
      <c r="D78" s="38" t="s">
        <v>60</v>
      </c>
      <c r="E78" s="38" t="s">
        <v>65</v>
      </c>
      <c r="F78" s="38" t="s">
        <v>63</v>
      </c>
      <c r="G78" s="38" t="s">
        <v>40</v>
      </c>
      <c r="H78" s="39" t="s">
        <v>79</v>
      </c>
      <c r="I78" s="39" t="s">
        <v>431</v>
      </c>
      <c r="J78" s="39" t="s">
        <v>415</v>
      </c>
      <c r="K78" s="39">
        <v>1.0</v>
      </c>
      <c r="L78" s="38" t="s">
        <v>53</v>
      </c>
      <c r="M78" s="39" t="s">
        <v>57</v>
      </c>
      <c r="N78" s="39" t="s">
        <v>53</v>
      </c>
      <c r="O78" s="38"/>
      <c r="P78" s="38"/>
      <c r="Q78" s="38"/>
      <c r="R78" s="38"/>
      <c r="S78" s="38"/>
      <c r="T78" s="38"/>
    </row>
    <row r="79" ht="22.5" customHeight="1">
      <c r="A79" s="38" t="s">
        <v>200</v>
      </c>
      <c r="B79" s="38" t="s">
        <v>25</v>
      </c>
      <c r="C79" s="38" t="s">
        <v>61</v>
      </c>
      <c r="D79" s="38" t="s">
        <v>60</v>
      </c>
      <c r="E79" s="38" t="s">
        <v>65</v>
      </c>
      <c r="F79" s="38" t="s">
        <v>63</v>
      </c>
      <c r="G79" s="38" t="s">
        <v>40</v>
      </c>
      <c r="H79" s="39" t="s">
        <v>79</v>
      </c>
      <c r="I79" s="39" t="s">
        <v>431</v>
      </c>
      <c r="J79" s="39" t="s">
        <v>417</v>
      </c>
      <c r="K79" s="39">
        <v>1.0</v>
      </c>
      <c r="L79" s="38" t="s">
        <v>53</v>
      </c>
      <c r="M79" s="39" t="s">
        <v>57</v>
      </c>
      <c r="N79" s="39" t="s">
        <v>53</v>
      </c>
      <c r="O79" s="38"/>
      <c r="P79" s="38"/>
      <c r="Q79" s="38"/>
      <c r="R79" s="38"/>
      <c r="S79" s="38"/>
      <c r="T79" s="38"/>
    </row>
    <row r="80" ht="22.5" customHeight="1">
      <c r="A80" s="38" t="s">
        <v>297</v>
      </c>
      <c r="B80" s="38" t="s">
        <v>25</v>
      </c>
      <c r="C80" s="38" t="s">
        <v>61</v>
      </c>
      <c r="D80" s="38" t="s">
        <v>60</v>
      </c>
      <c r="E80" s="38" t="s">
        <v>65</v>
      </c>
      <c r="F80" s="38" t="s">
        <v>63</v>
      </c>
      <c r="G80" s="38" t="s">
        <v>40</v>
      </c>
      <c r="H80" s="39" t="s">
        <v>79</v>
      </c>
      <c r="I80" s="39" t="s">
        <v>431</v>
      </c>
      <c r="J80" s="39" t="s">
        <v>418</v>
      </c>
      <c r="K80" s="39">
        <v>1.0</v>
      </c>
      <c r="L80" s="38" t="s">
        <v>53</v>
      </c>
      <c r="M80" s="39" t="s">
        <v>57</v>
      </c>
      <c r="N80" s="39" t="s">
        <v>53</v>
      </c>
      <c r="O80" s="38"/>
      <c r="P80" s="38"/>
      <c r="Q80" s="38"/>
      <c r="R80" s="38"/>
      <c r="S80" s="38"/>
      <c r="T80" s="38"/>
    </row>
    <row r="81" ht="22.5" customHeight="1">
      <c r="A81" s="38" t="s">
        <v>299</v>
      </c>
      <c r="B81" s="38" t="s">
        <v>25</v>
      </c>
      <c r="C81" s="38" t="s">
        <v>61</v>
      </c>
      <c r="D81" s="38" t="s">
        <v>60</v>
      </c>
      <c r="E81" s="38" t="s">
        <v>65</v>
      </c>
      <c r="F81" s="38" t="s">
        <v>63</v>
      </c>
      <c r="G81" s="38" t="s">
        <v>40</v>
      </c>
      <c r="H81" s="39" t="s">
        <v>79</v>
      </c>
      <c r="I81" s="39" t="s">
        <v>431</v>
      </c>
      <c r="J81" s="39" t="s">
        <v>214</v>
      </c>
      <c r="K81" s="39">
        <v>1.0</v>
      </c>
      <c r="L81" s="38" t="s">
        <v>53</v>
      </c>
      <c r="M81" s="39" t="s">
        <v>57</v>
      </c>
      <c r="N81" s="39" t="s">
        <v>53</v>
      </c>
      <c r="O81" s="38"/>
      <c r="P81" s="38"/>
      <c r="Q81" s="38"/>
      <c r="R81" s="38"/>
      <c r="S81" s="38"/>
      <c r="T81" s="38"/>
    </row>
    <row r="82" ht="22.5" customHeight="1">
      <c r="A82" s="38" t="s">
        <v>301</v>
      </c>
      <c r="B82" s="38" t="s">
        <v>25</v>
      </c>
      <c r="C82" s="38" t="s">
        <v>61</v>
      </c>
      <c r="D82" s="38" t="s">
        <v>60</v>
      </c>
      <c r="E82" s="38" t="s">
        <v>65</v>
      </c>
      <c r="F82" s="38" t="s">
        <v>63</v>
      </c>
      <c r="G82" s="38" t="s">
        <v>40</v>
      </c>
      <c r="H82" s="39" t="s">
        <v>79</v>
      </c>
      <c r="I82" s="39" t="s">
        <v>431</v>
      </c>
      <c r="J82" s="39" t="s">
        <v>215</v>
      </c>
      <c r="K82" s="39">
        <v>1.0</v>
      </c>
      <c r="L82" s="38" t="s">
        <v>53</v>
      </c>
      <c r="M82" s="39" t="s">
        <v>57</v>
      </c>
      <c r="N82" s="39" t="s">
        <v>53</v>
      </c>
      <c r="O82" s="38"/>
      <c r="P82" s="38"/>
      <c r="Q82" s="38"/>
      <c r="R82" s="38"/>
      <c r="S82" s="38"/>
      <c r="T82" s="38"/>
    </row>
    <row r="83" ht="22.5" customHeight="1">
      <c r="A83" s="38" t="s">
        <v>303</v>
      </c>
      <c r="B83" s="38" t="s">
        <v>25</v>
      </c>
      <c r="C83" s="38" t="s">
        <v>61</v>
      </c>
      <c r="D83" s="38" t="s">
        <v>60</v>
      </c>
      <c r="E83" s="38" t="s">
        <v>65</v>
      </c>
      <c r="F83" s="38" t="s">
        <v>63</v>
      </c>
      <c r="G83" s="38" t="s">
        <v>40</v>
      </c>
      <c r="H83" s="39" t="s">
        <v>79</v>
      </c>
      <c r="I83" s="39" t="s">
        <v>431</v>
      </c>
      <c r="J83" s="39" t="s">
        <v>53</v>
      </c>
      <c r="K83" s="39" t="s">
        <v>57</v>
      </c>
      <c r="L83" s="38" t="s">
        <v>53</v>
      </c>
      <c r="M83" s="39"/>
      <c r="N83" s="39"/>
      <c r="O83" s="38"/>
      <c r="P83" s="38"/>
      <c r="Q83" s="38"/>
      <c r="R83" s="38"/>
      <c r="S83" s="38"/>
      <c r="T83" s="38"/>
    </row>
    <row r="84" ht="22.5" customHeight="1">
      <c r="A84" s="38" t="s">
        <v>305</v>
      </c>
      <c r="B84" s="38" t="s">
        <v>25</v>
      </c>
      <c r="C84" s="38" t="s">
        <v>61</v>
      </c>
      <c r="D84" s="38" t="s">
        <v>60</v>
      </c>
      <c r="E84" s="38" t="s">
        <v>65</v>
      </c>
      <c r="F84" s="38" t="s">
        <v>63</v>
      </c>
      <c r="G84" s="38" t="s">
        <v>40</v>
      </c>
      <c r="H84" s="39" t="s">
        <v>79</v>
      </c>
      <c r="I84" s="39" t="s">
        <v>406</v>
      </c>
      <c r="J84" s="39" t="s">
        <v>408</v>
      </c>
      <c r="K84" s="39">
        <v>1.0</v>
      </c>
      <c r="L84" s="38" t="s">
        <v>53</v>
      </c>
      <c r="M84" s="39" t="s">
        <v>57</v>
      </c>
      <c r="N84" s="39" t="s">
        <v>53</v>
      </c>
      <c r="O84" s="38"/>
      <c r="P84" s="38"/>
      <c r="Q84" s="38"/>
      <c r="R84" s="38"/>
      <c r="S84" s="38"/>
      <c r="T84" s="38"/>
    </row>
    <row r="85" ht="22.5" customHeight="1">
      <c r="A85" s="38" t="s">
        <v>307</v>
      </c>
      <c r="B85" s="38" t="s">
        <v>25</v>
      </c>
      <c r="C85" s="38" t="s">
        <v>61</v>
      </c>
      <c r="D85" s="38" t="s">
        <v>60</v>
      </c>
      <c r="E85" s="38" t="s">
        <v>65</v>
      </c>
      <c r="F85" s="38" t="s">
        <v>63</v>
      </c>
      <c r="G85" s="38" t="s">
        <v>40</v>
      </c>
      <c r="H85" s="39" t="s">
        <v>79</v>
      </c>
      <c r="I85" s="39" t="s">
        <v>406</v>
      </c>
      <c r="J85" s="39" t="s">
        <v>410</v>
      </c>
      <c r="K85" s="39">
        <v>1.0</v>
      </c>
      <c r="L85" s="38" t="s">
        <v>53</v>
      </c>
      <c r="M85" s="39" t="s">
        <v>57</v>
      </c>
      <c r="N85" s="39" t="s">
        <v>53</v>
      </c>
      <c r="O85" s="38"/>
      <c r="P85" s="38"/>
      <c r="Q85" s="38"/>
      <c r="R85" s="38"/>
      <c r="S85" s="38"/>
      <c r="T85" s="38"/>
    </row>
    <row r="86" ht="22.5" customHeight="1">
      <c r="A86" s="38" t="s">
        <v>312</v>
      </c>
      <c r="B86" s="38" t="s">
        <v>25</v>
      </c>
      <c r="C86" s="38" t="s">
        <v>61</v>
      </c>
      <c r="D86" s="38" t="s">
        <v>60</v>
      </c>
      <c r="E86" s="38" t="s">
        <v>65</v>
      </c>
      <c r="F86" s="38" t="s">
        <v>63</v>
      </c>
      <c r="G86" s="38" t="s">
        <v>40</v>
      </c>
      <c r="H86" s="39" t="s">
        <v>79</v>
      </c>
      <c r="I86" s="39" t="s">
        <v>406</v>
      </c>
      <c r="J86" s="39" t="s">
        <v>415</v>
      </c>
      <c r="K86" s="39">
        <v>1.0</v>
      </c>
      <c r="L86" s="38" t="s">
        <v>53</v>
      </c>
      <c r="M86" s="39" t="s">
        <v>57</v>
      </c>
      <c r="N86" s="39" t="s">
        <v>53</v>
      </c>
      <c r="O86" s="38"/>
      <c r="P86" s="38"/>
      <c r="Q86" s="38"/>
      <c r="R86" s="38"/>
      <c r="S86" s="38"/>
      <c r="T86" s="38"/>
    </row>
    <row r="87" ht="22.5" customHeight="1">
      <c r="A87" s="38" t="s">
        <v>205</v>
      </c>
      <c r="B87" s="38" t="s">
        <v>25</v>
      </c>
      <c r="C87" s="38" t="s">
        <v>61</v>
      </c>
      <c r="D87" s="38" t="s">
        <v>60</v>
      </c>
      <c r="E87" s="38" t="s">
        <v>65</v>
      </c>
      <c r="F87" s="38" t="s">
        <v>63</v>
      </c>
      <c r="G87" s="38" t="s">
        <v>40</v>
      </c>
      <c r="H87" s="39" t="s">
        <v>79</v>
      </c>
      <c r="I87" s="39" t="s">
        <v>406</v>
      </c>
      <c r="J87" s="39" t="s">
        <v>417</v>
      </c>
      <c r="K87" s="39">
        <v>1.0</v>
      </c>
      <c r="L87" s="38" t="s">
        <v>53</v>
      </c>
      <c r="M87" s="39" t="s">
        <v>57</v>
      </c>
      <c r="N87" s="39" t="s">
        <v>53</v>
      </c>
      <c r="O87" s="38"/>
      <c r="P87" s="38"/>
      <c r="Q87" s="38"/>
      <c r="R87" s="38"/>
      <c r="S87" s="38"/>
      <c r="T87" s="38"/>
    </row>
    <row r="88" ht="22.5" customHeight="1">
      <c r="A88" s="38" t="s">
        <v>315</v>
      </c>
      <c r="B88" s="38" t="s">
        <v>25</v>
      </c>
      <c r="C88" s="38" t="s">
        <v>61</v>
      </c>
      <c r="D88" s="38" t="s">
        <v>60</v>
      </c>
      <c r="E88" s="38" t="s">
        <v>65</v>
      </c>
      <c r="F88" s="38" t="s">
        <v>63</v>
      </c>
      <c r="G88" s="38" t="s">
        <v>40</v>
      </c>
      <c r="H88" s="39" t="s">
        <v>79</v>
      </c>
      <c r="I88" s="39" t="s">
        <v>406</v>
      </c>
      <c r="J88" s="39" t="s">
        <v>418</v>
      </c>
      <c r="K88" s="39">
        <v>1.0</v>
      </c>
      <c r="L88" s="38" t="s">
        <v>53</v>
      </c>
      <c r="M88" s="39" t="s">
        <v>57</v>
      </c>
      <c r="N88" s="39" t="s">
        <v>53</v>
      </c>
      <c r="O88" s="38"/>
      <c r="P88" s="38"/>
      <c r="Q88" s="38"/>
      <c r="R88" s="38"/>
      <c r="S88" s="38"/>
      <c r="T88" s="38"/>
    </row>
    <row r="89" ht="22.5" customHeight="1">
      <c r="A89" s="38" t="s">
        <v>317</v>
      </c>
      <c r="B89" s="38" t="s">
        <v>25</v>
      </c>
      <c r="C89" s="38" t="s">
        <v>61</v>
      </c>
      <c r="D89" s="38" t="s">
        <v>60</v>
      </c>
      <c r="E89" s="38" t="s">
        <v>65</v>
      </c>
      <c r="F89" s="38" t="s">
        <v>63</v>
      </c>
      <c r="G89" s="38" t="s">
        <v>40</v>
      </c>
      <c r="H89" s="39" t="s">
        <v>79</v>
      </c>
      <c r="I89" s="39" t="s">
        <v>406</v>
      </c>
      <c r="J89" s="39" t="s">
        <v>214</v>
      </c>
      <c r="K89" s="39">
        <v>1.0</v>
      </c>
      <c r="L89" s="38" t="s">
        <v>53</v>
      </c>
      <c r="M89" s="39" t="s">
        <v>57</v>
      </c>
      <c r="N89" s="39" t="s">
        <v>53</v>
      </c>
      <c r="O89" s="38"/>
      <c r="P89" s="38"/>
      <c r="Q89" s="38"/>
      <c r="R89" s="38"/>
      <c r="S89" s="38"/>
      <c r="T89" s="38"/>
    </row>
    <row r="90" ht="22.5" customHeight="1">
      <c r="A90" s="38" t="s">
        <v>319</v>
      </c>
      <c r="B90" s="38" t="s">
        <v>25</v>
      </c>
      <c r="C90" s="38" t="s">
        <v>61</v>
      </c>
      <c r="D90" s="38" t="s">
        <v>60</v>
      </c>
      <c r="E90" s="38" t="s">
        <v>65</v>
      </c>
      <c r="F90" s="38" t="s">
        <v>63</v>
      </c>
      <c r="G90" s="38" t="s">
        <v>40</v>
      </c>
      <c r="H90" s="39" t="s">
        <v>79</v>
      </c>
      <c r="I90" s="39" t="s">
        <v>406</v>
      </c>
      <c r="J90" s="39" t="s">
        <v>215</v>
      </c>
      <c r="K90" s="39">
        <v>1.0</v>
      </c>
      <c r="L90" s="38" t="s">
        <v>53</v>
      </c>
      <c r="M90" s="39" t="s">
        <v>57</v>
      </c>
      <c r="N90" s="39" t="s">
        <v>53</v>
      </c>
      <c r="O90" s="38"/>
      <c r="P90" s="38"/>
      <c r="Q90" s="38"/>
      <c r="R90" s="38"/>
      <c r="S90" s="38"/>
      <c r="T90" s="38"/>
    </row>
    <row r="91" ht="22.5" customHeight="1">
      <c r="A91" s="38" t="s">
        <v>322</v>
      </c>
      <c r="B91" s="38" t="s">
        <v>25</v>
      </c>
      <c r="C91" s="38" t="s">
        <v>61</v>
      </c>
      <c r="D91" s="38" t="s">
        <v>60</v>
      </c>
      <c r="E91" s="38" t="s">
        <v>65</v>
      </c>
      <c r="F91" s="38" t="s">
        <v>63</v>
      </c>
      <c r="G91" s="38" t="s">
        <v>40</v>
      </c>
      <c r="H91" s="39" t="s">
        <v>79</v>
      </c>
      <c r="I91" s="39" t="s">
        <v>406</v>
      </c>
      <c r="J91" s="39" t="s">
        <v>53</v>
      </c>
      <c r="K91" s="39" t="s">
        <v>57</v>
      </c>
      <c r="L91" s="38" t="s">
        <v>53</v>
      </c>
      <c r="M91" s="39"/>
      <c r="N91" s="39"/>
      <c r="O91" s="38"/>
      <c r="P91" s="38"/>
      <c r="Q91" s="38"/>
      <c r="R91" s="38"/>
      <c r="S91" s="38"/>
      <c r="T91" s="38"/>
    </row>
    <row r="92" ht="22.5" customHeight="1">
      <c r="A92" s="38" t="s">
        <v>325</v>
      </c>
      <c r="B92" s="38" t="s">
        <v>25</v>
      </c>
      <c r="C92" s="38" t="s">
        <v>37</v>
      </c>
      <c r="D92" s="38" t="s">
        <v>60</v>
      </c>
      <c r="E92" s="38" t="s">
        <v>65</v>
      </c>
      <c r="F92" s="38" t="s">
        <v>63</v>
      </c>
      <c r="G92" s="38" t="s">
        <v>40</v>
      </c>
      <c r="H92" s="39" t="s">
        <v>66</v>
      </c>
      <c r="I92" s="39" t="s">
        <v>71</v>
      </c>
      <c r="J92" s="39" t="s">
        <v>69</v>
      </c>
      <c r="K92" s="39" t="s">
        <v>57</v>
      </c>
      <c r="L92" s="38" t="s">
        <v>53</v>
      </c>
      <c r="M92" s="39"/>
      <c r="N92" s="39"/>
      <c r="O92" s="38"/>
      <c r="P92" s="38"/>
      <c r="Q92" s="38"/>
      <c r="R92" s="38"/>
      <c r="S92" s="38"/>
      <c r="T92" s="38"/>
    </row>
    <row r="93" ht="22.5" customHeight="1">
      <c r="A93" s="38" t="s">
        <v>327</v>
      </c>
      <c r="B93" s="38" t="s">
        <v>25</v>
      </c>
      <c r="C93" s="38" t="s">
        <v>61</v>
      </c>
      <c r="D93" s="38" t="s">
        <v>60</v>
      </c>
      <c r="E93" s="38" t="s">
        <v>65</v>
      </c>
      <c r="F93" s="38" t="s">
        <v>63</v>
      </c>
      <c r="G93" s="38" t="s">
        <v>40</v>
      </c>
      <c r="H93" s="39" t="s">
        <v>79</v>
      </c>
      <c r="I93" s="39">
        <v>1.0</v>
      </c>
      <c r="J93" s="39" t="s">
        <v>53</v>
      </c>
      <c r="K93" s="39" t="s">
        <v>57</v>
      </c>
      <c r="L93" s="38" t="s">
        <v>53</v>
      </c>
      <c r="M93" s="39"/>
      <c r="N93" s="39"/>
      <c r="O93" s="38"/>
      <c r="P93" s="38"/>
      <c r="Q93" s="38"/>
      <c r="R93" s="38"/>
      <c r="S93" s="38"/>
      <c r="T93" s="38"/>
    </row>
  </sheetData>
  <dataValidations>
    <dataValidation type="list" allowBlank="1" sqref="I2:I93">
      <formula1>"AC52A,Bundaran HI - Lebak Bulus,1,1,1,1,1,1,1,1,6B,6B,6B,6B,6B,6B,6B,6B,6M,6M,6M,6M,6M,6M,6M,6M,13,13,13,13,13,13,13,13,1N,1N,1N,1N,1N,1N,1N,1N,1P,1P,1P,1P,1P,1P,1P,1P,4C,4C,4C,4C,4C,4C,4C,4C,9C,9C,9C,9C,9C,9C,9C,9C,B11,B11,B11,B11,B11,B11,B11,B11,JRC,JRC"&amp;",JRC,JRC,JRC,JRC,JRC,JRC,L13E,L13E,L13E,L13E,L13E,L13E,L13E,L13E,Bundaran HI - Lebak Bulus,1"</formula1>
    </dataValidation>
    <dataValidation type="list" allowBlank="1" sqref="M2:M93">
      <formula1>"Bogor - Blok M,Jalan Kaki (Selesai),Jalan Kaki (Selesai),Jalan Kaki (Selesai),Jalan Kaki (Selesai),Jalan Kaki (Selesai),Jalan Kaki (Selesai),Jalan Kaki (Selesai),Jalan Kaki (Selesai),Jalan Kaki (Selesai),Jalan Kaki (Selesai),Jalan Kaki (Selesai),Jalan Kak"&amp;"i (Selesai),Jalan Kaki (Selesai),Jalan Kaki (Selesai),Jalan Kaki (Selesai),Jalan Kaki (Selesai),Jalan Kaki (Selesai),Jalan Kaki (Selesai),Jalan Kaki (Selesai),Jalan Kaki (Selesai),Jalan Kaki (Selesai),Jalan Kaki (Selesai),Jalan Kaki (Selesai),Jalan Kaki ("&amp;"Selesai),Jalan Kaki (Selesai),Jalan Kaki (Selesai),Jalan Kaki (Selesai),Jalan Kaki (Selesai),Jalan Kaki (Selesai),Jalan Kaki (Selesai),Jalan Kaki (Selesai),Jalan Kaki (Selesai),Jalan Kaki (Selesai),Jalan Kaki (Selesai),Jalan Kaki (Selesai),Jalan Kaki (Sel"&amp;"esai),Jalan Kaki (Selesai),Jalan Kaki (Selesai),Jalan Kaki (Selesai),Jalan Kaki (Selesai),Jalan Kaki (Selesai),Jalan Kaki (Selesai),Jalan Kaki (Selesai),Jalan Kaki (Selesai),Jalan Kaki (Selesai),Jalan Kaki (Selesai),Jalan Kaki (Selesai),Jalan Kaki (Selesa"&amp;"i),Jalan Kaki (Selesai),Jalan Kaki (Selesai),Jalan Kaki (Selesai),Jalan Kaki (Selesai),Jalan Kaki (Selesai),Jalan Kaki (Selesai),Jalan Kaki (Selesai),Jalan Kaki (Selesai),Jalan Kaki (Selesai),Jalan Kaki (Selesai),Jalan Kaki (Selesai),Jalan Kaki (Selesai),"&amp;"Jalan Kaki (Selesai),Jalan Kaki (Selesai),Jalan Kaki (Selesai),Jalan Kaki (Selesai),Jalan Kaki (Selesai),Jalan Kaki (Selesai),Jalan Kaki (Selesai),Jalan Kaki (Selesai),Jalan Kaki (Selesai),Jalan Kaki (Selesai),Jalan Kaki (Selesai),Jalan Kaki (Selesai),Jal"&amp;"an Kaki (Selesai),Jalan Kaki (Selesai),Jalan Kaki (Selesai),Jalan Kaki (Selesai),Jalan Kaki (Selesai)"</formula1>
    </dataValidation>
    <dataValidation type="list" allowBlank="1" sqref="K2:K93">
      <formula1>"Jalan Kaki (Integrasi),Jalan Kaki (Selesai),1,Jalan Kaki (Selesai),1,1,1,1,1,1,1,1,1,1,1,1,1,Jalan Kaki (Selesai),1,1,1,1,1,1,1,Jalan Kaki (Selesai),1,1,1,1,1,1,1,Jalan Kaki (Selesai),1,1,1,1,1,1,1,Jalan Kaki (Selesai),1,1,1,1,1,1,1,Jalan Kaki (Selesai),1"&amp;",1,1,1,1,1,1,Jalan Kaki (Selesai),1,1,1,1,1,1,1,Jalan Kaki (Selesai),1,1,1,1,1,1,1,Jalan Kaki (Selesai),1,1,1,1,1,1,1,Jalan Kaki (Selesai),1,1,1,1,1,1,1,Jalan Kaki (Selesai),Jalan Kaki (Selesai),Jalan Kaki (Selesai)"</formula1>
    </dataValidation>
    <dataValidation type="list" allowBlank="1" sqref="H2:H93">
      <formula1>"Stasiun Sudirman,Dukuh Atas BNI,Dukuh Atas,Dukuh Atas,Dukuh Atas,Dukuh Atas,Dukuh Atas,Dukuh Atas,Dukuh Atas,Dukuh Atas,Dukuh Atas,Dukuh Atas,Dukuh Atas,Dukuh Atas,Dukuh Atas,Dukuh Atas,Dukuh Atas,Dukuh Atas,Dukuh Atas,Dukuh Atas,Dukuh Atas,Dukuh Atas,Duk"&amp;"uh Atas,Dukuh Atas,Dukuh Atas,Dukuh Atas,Dukuh Atas,Dukuh Atas,Dukuh Atas,Dukuh Atas,Dukuh Atas,Dukuh Atas,Dukuh Atas,Dukuh Atas,Dukuh Atas,Dukuh Atas,Dukuh Atas,Dukuh Atas,Dukuh Atas,Dukuh Atas,Dukuh Atas,Dukuh Atas,Dukuh Atas,Dukuh Atas,Dukuh Atas,Dukuh"&amp;" Atas,Dukuh Atas,Dukuh Atas,Dukuh Atas,Dukuh Atas,Dukuh Atas,Dukuh Atas,Dukuh Atas,Dukuh Atas,Dukuh Atas,Dukuh Atas,Dukuh Atas,Dukuh Atas,Dukuh Atas,Dukuh Atas,Dukuh Atas,Dukuh Atas,Dukuh Atas,Dukuh Atas,Dukuh Atas,Dukuh Atas,Dukuh Atas,Dukuh Atas,Dukuh A"&amp;"tas,Dukuh Atas,Dukuh Atas,Dukuh Atas,Dukuh Atas,Dukuh Atas,Dukuh Atas,Dukuh Atas,Dukuh Atas,Dukuh Atas,Dukuh Atas,Dukuh Atas,Dukuh Atas,Dukuh Atas,Dukuh Atas,Dukuh Atas,Dukuh Atas,Dukuh Atas,Dukuh Atas,Dukuh Atas,Dukuh Atas,Dukuh Atas,Dukuh Atas BNI,Dukuh"&amp;" Atas"</formula1>
    </dataValidation>
    <dataValidation type="list" allowBlank="1" sqref="J2:J93">
      <formula1>"Komdak 2,Blok M BCA,Bundaran Senayan,Blok M,Gelora Bung Karno,Polda Metro Jaya,Senayan Bank DKI,Masjid Agung,Karet Sudirman,Bendungan Hilir,Gelora Bung Karno,Polda Metro Jaya,Senayan Bank DKI,Masjid Agung,Karet Sudirman,Bendungan Hilir,Bundaran Senayan,Bl"&amp;"ok M,Gelora Bung Karno,Polda Metro Jaya,Senayan Bank DKI,Masjid Agung,Karet Sudirman,Bendungan Hilir,Bundaran Senayan,Blok M,Gelora Bung Karno,Polda Metro Jaya,Senayan Bank DKI,Masjid Agung,Karet Sudirman,Bendungan Hilir,Bundaran Senayan,Blok M,Gelora Bun"&amp;"g Karno,Polda Metro Jaya,Senayan Bank DKI,Masjid Agung,Karet Sudirman,Bendungan Hilir,Bundaran Senayan,Blok M,Gelora Bung Karno,Polda Metro Jaya,Senayan Bank DKI,Masjid Agung,Karet Sudirman,Bendungan Hilir,Bundaran Senayan,Blok M,Gelora Bung Karno,Polda M"&amp;"etro Jaya,Senayan Bank DKI,Masjid Agung,Karet Sudirman,Bendungan Hilir,Bundaran Senayan,Blok M,Gelora Bung Karno,Polda Metro Jaya,Senayan Bank DKI,Masjid Agung,Karet Sudirman,Bendungan Hilir,Bundaran Senayan,Blok M,Gelora Bung Karno,Polda Metro Jaya,Senay"&amp;"an Bank DKI,Masjid Agung,Karet Sudirman,Bendungan Hilir,Bundaran Senayan,Blok M,Gelora Bung Karno,Polda Metro Jaya,Senayan Bank DKI,Masjid Agung,Karet Sudirman,Bendungan Hilir,Bundaran Senayan,Blok M,Gelora Bung Karno,Polda Metro Jaya,Senayan Bank DKI,Mas"&amp;"jid Agung,Karet Sudirman,Bendungan Hilir,Bundaran Senayan,Blok M,Blok M BCA,Blok M"</formula1>
    </dataValidation>
    <dataValidation type="list" allowBlank="1" sqref="N2:N93">
      <formula1>"Terminal Blok M,Blok M,Blok M,Blok M,Blok M,Blok M,Blok M,Blok M,Blok M,Blok M,Blok M,Blok M,Blok M,Blok M,Blok M,Blok M,Blok M,Blok M,Blok M,Blok M,Blok M,Blok M,Blok M,Blok M,Blok M,Blok M,Blok M,Blok M,Blok M,Blok M,Blok M,Blok M,Blok M,Blok M,Blok M,B"&amp;"lok M,Blok M,Blok M,Blok M,Blok M,Blok M,Blok M,Blok M,Blok M,Blok M,Blok M,Blok M,Blok M,Blok M,Blok M,Blok M,Blok M,Blok M,Blok M,Blok M,Blok M,Blok M,Blok M,Blok M,Blok M,Blok M,Blok M,Blok M,Blok M,Blok M,Blok M,Blok M,Blok M,Blok M,Blok M,Blok M,Blok"&amp;" M,Blok M,Blok M,Blok M,Blok M,Blok M,Blok M"</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3" width="12.13"/>
    <col customWidth="1" min="4" max="4" width="11.0"/>
    <col customWidth="1" min="5" max="5" width="13.38"/>
    <col customWidth="1" min="6" max="6" width="19.75"/>
    <col customWidth="1" min="7" max="7" width="12.38"/>
    <col customWidth="1" min="8" max="8" width="12.88"/>
    <col customWidth="1" min="9" max="9" width="13.5"/>
    <col customWidth="1" min="10" max="10" width="14.0"/>
    <col customWidth="1" min="11" max="11" width="15.25"/>
    <col customWidth="1" min="12" max="12" width="13.63"/>
    <col customWidth="1" min="13" max="14" width="14.88"/>
    <col customWidth="1" min="15" max="15" width="13.13"/>
    <col customWidth="1" min="16" max="16" width="11.25"/>
    <col customWidth="1" min="17" max="17" width="14.25"/>
    <col customWidth="1" min="18" max="18" width="12.88"/>
    <col customWidth="1" min="19" max="19" width="7.38"/>
    <col customWidth="1" min="20" max="20" width="28.5"/>
  </cols>
  <sheetData>
    <row r="1" ht="30.0" customHeight="1">
      <c r="A1" s="42" t="s">
        <v>1</v>
      </c>
      <c r="B1" s="42" t="s">
        <v>331</v>
      </c>
      <c r="C1" s="42" t="s">
        <v>332</v>
      </c>
      <c r="D1" s="42" t="s">
        <v>334</v>
      </c>
      <c r="E1" s="42" t="s">
        <v>335</v>
      </c>
      <c r="F1" s="42" t="s">
        <v>337</v>
      </c>
      <c r="G1" s="42" t="s">
        <v>338</v>
      </c>
      <c r="H1" s="42" t="s">
        <v>340</v>
      </c>
      <c r="I1" s="42" t="s">
        <v>341</v>
      </c>
      <c r="J1" s="42" t="s">
        <v>343</v>
      </c>
      <c r="K1" s="42" t="s">
        <v>344</v>
      </c>
      <c r="L1" s="42" t="s">
        <v>346</v>
      </c>
      <c r="M1" s="42" t="s">
        <v>347</v>
      </c>
      <c r="N1" s="42" t="s">
        <v>349</v>
      </c>
      <c r="O1" s="42" t="s">
        <v>350</v>
      </c>
      <c r="P1" s="42" t="s">
        <v>352</v>
      </c>
      <c r="Q1" s="42" t="s">
        <v>353</v>
      </c>
      <c r="R1" s="42" t="s">
        <v>355</v>
      </c>
      <c r="S1" s="42" t="s">
        <v>399</v>
      </c>
      <c r="T1" s="42" t="s">
        <v>356</v>
      </c>
    </row>
    <row r="2" ht="24.0" customHeight="1">
      <c r="A2" s="43" t="s">
        <v>7</v>
      </c>
      <c r="B2" s="44" t="s">
        <v>25</v>
      </c>
      <c r="C2" s="44" t="s">
        <v>61</v>
      </c>
      <c r="D2" s="44" t="s">
        <v>60</v>
      </c>
      <c r="E2" s="44" t="s">
        <v>65</v>
      </c>
      <c r="F2" s="45" t="s">
        <v>63</v>
      </c>
      <c r="G2" s="45" t="s">
        <v>40</v>
      </c>
      <c r="H2" s="45" t="s">
        <v>388</v>
      </c>
      <c r="I2" s="45" t="s">
        <v>389</v>
      </c>
      <c r="J2" s="45" t="s">
        <v>390</v>
      </c>
      <c r="K2" s="45" t="s">
        <v>40</v>
      </c>
      <c r="L2" s="45" t="s">
        <v>391</v>
      </c>
      <c r="M2" s="45" t="s">
        <v>129</v>
      </c>
      <c r="N2" s="45" t="s">
        <v>127</v>
      </c>
      <c r="O2" s="45" t="s">
        <v>57</v>
      </c>
      <c r="P2" s="45" t="s">
        <v>53</v>
      </c>
      <c r="Q2" s="45"/>
      <c r="R2" s="45"/>
      <c r="S2" s="45"/>
      <c r="T2" s="45"/>
    </row>
    <row r="3" ht="24.0" customHeight="1">
      <c r="A3" s="46" t="s">
        <v>16</v>
      </c>
      <c r="B3" s="47" t="s">
        <v>25</v>
      </c>
      <c r="C3" s="47" t="s">
        <v>61</v>
      </c>
      <c r="D3" s="47" t="s">
        <v>60</v>
      </c>
      <c r="E3" s="47" t="s">
        <v>65</v>
      </c>
      <c r="F3" s="48" t="s">
        <v>63</v>
      </c>
      <c r="G3" s="48" t="s">
        <v>40</v>
      </c>
      <c r="H3" s="48" t="s">
        <v>66</v>
      </c>
      <c r="I3" s="48" t="s">
        <v>71</v>
      </c>
      <c r="J3" s="48" t="s">
        <v>69</v>
      </c>
      <c r="K3" s="48" t="s">
        <v>57</v>
      </c>
      <c r="L3" s="48" t="s">
        <v>53</v>
      </c>
      <c r="M3" s="48"/>
      <c r="N3" s="48"/>
      <c r="O3" s="48"/>
      <c r="P3" s="48"/>
      <c r="Q3" s="48"/>
      <c r="R3" s="48"/>
      <c r="S3" s="48"/>
      <c r="T3" s="48"/>
    </row>
    <row r="4" ht="24.0" customHeight="1">
      <c r="A4" s="46" t="s">
        <v>226</v>
      </c>
      <c r="B4" s="49" t="s">
        <v>25</v>
      </c>
      <c r="C4" s="49" t="s">
        <v>61</v>
      </c>
      <c r="D4" s="49" t="s">
        <v>60</v>
      </c>
      <c r="E4" s="49" t="s">
        <v>65</v>
      </c>
      <c r="F4" s="50" t="s">
        <v>63</v>
      </c>
      <c r="G4" s="50" t="s">
        <v>40</v>
      </c>
      <c r="H4" s="50" t="s">
        <v>79</v>
      </c>
      <c r="I4" s="50">
        <v>1.0</v>
      </c>
      <c r="J4" s="50" t="s">
        <v>215</v>
      </c>
      <c r="K4" s="50">
        <v>1.0</v>
      </c>
      <c r="L4" s="50" t="s">
        <v>53</v>
      </c>
      <c r="M4" s="50" t="s">
        <v>57</v>
      </c>
      <c r="N4" s="50" t="s">
        <v>53</v>
      </c>
      <c r="O4" s="50"/>
      <c r="P4" s="50"/>
      <c r="Q4" s="50"/>
      <c r="R4" s="50"/>
      <c r="S4" s="50"/>
      <c r="T4" s="50"/>
    </row>
    <row r="5" ht="24.0" customHeight="1">
      <c r="A5" s="46" t="s">
        <v>23</v>
      </c>
      <c r="B5" s="47" t="s">
        <v>25</v>
      </c>
      <c r="C5" s="47" t="s">
        <v>61</v>
      </c>
      <c r="D5" s="47" t="s">
        <v>60</v>
      </c>
      <c r="E5" s="47" t="s">
        <v>65</v>
      </c>
      <c r="F5" s="48" t="s">
        <v>63</v>
      </c>
      <c r="G5" s="48" t="s">
        <v>40</v>
      </c>
      <c r="H5" s="48" t="s">
        <v>79</v>
      </c>
      <c r="I5" s="48">
        <v>1.0</v>
      </c>
      <c r="J5" s="48" t="s">
        <v>53</v>
      </c>
      <c r="K5" s="48" t="s">
        <v>57</v>
      </c>
      <c r="L5" s="48" t="s">
        <v>53</v>
      </c>
      <c r="M5" s="48"/>
      <c r="N5" s="48"/>
      <c r="O5" s="48"/>
      <c r="P5" s="48"/>
      <c r="Q5" s="48"/>
      <c r="R5" s="48"/>
      <c r="S5" s="48"/>
      <c r="T5" s="48"/>
    </row>
    <row r="6" ht="24.0" customHeight="1">
      <c r="A6" s="46" t="s">
        <v>229</v>
      </c>
      <c r="B6" s="49" t="s">
        <v>25</v>
      </c>
      <c r="C6" s="49" t="s">
        <v>61</v>
      </c>
      <c r="D6" s="49" t="s">
        <v>60</v>
      </c>
      <c r="E6" s="49">
        <v>4.0</v>
      </c>
      <c r="F6" s="50" t="s">
        <v>87</v>
      </c>
      <c r="G6" s="50" t="s">
        <v>40</v>
      </c>
      <c r="H6" s="50" t="s">
        <v>79</v>
      </c>
      <c r="I6" s="50">
        <v>1.0</v>
      </c>
      <c r="J6" s="50" t="s">
        <v>215</v>
      </c>
      <c r="K6" s="50">
        <v>1.0</v>
      </c>
      <c r="L6" s="50" t="s">
        <v>53</v>
      </c>
      <c r="M6" s="50" t="s">
        <v>57</v>
      </c>
      <c r="N6" s="50" t="s">
        <v>53</v>
      </c>
      <c r="O6" s="50"/>
      <c r="P6" s="50"/>
      <c r="Q6" s="50"/>
      <c r="R6" s="50"/>
      <c r="S6" s="50"/>
      <c r="T6" s="50"/>
    </row>
    <row r="7" ht="24.0" customHeight="1">
      <c r="A7" s="46" t="s">
        <v>28</v>
      </c>
      <c r="B7" s="47" t="s">
        <v>25</v>
      </c>
      <c r="C7" s="47" t="s">
        <v>61</v>
      </c>
      <c r="D7" s="47" t="s">
        <v>60</v>
      </c>
      <c r="E7" s="47">
        <v>4.0</v>
      </c>
      <c r="F7" s="48" t="s">
        <v>87</v>
      </c>
      <c r="G7" s="48" t="s">
        <v>40</v>
      </c>
      <c r="H7" s="48" t="s">
        <v>79</v>
      </c>
      <c r="I7" s="48">
        <v>1.0</v>
      </c>
      <c r="J7" s="48" t="s">
        <v>53</v>
      </c>
      <c r="K7" s="48" t="s">
        <v>57</v>
      </c>
      <c r="L7" s="48" t="s">
        <v>53</v>
      </c>
      <c r="M7" s="48"/>
      <c r="N7" s="48"/>
      <c r="O7" s="48"/>
      <c r="P7" s="48"/>
      <c r="Q7" s="48"/>
      <c r="R7" s="48"/>
      <c r="S7" s="48"/>
      <c r="T7" s="48"/>
    </row>
    <row r="8" ht="24.0" customHeight="1">
      <c r="A8" s="46" t="s">
        <v>31</v>
      </c>
      <c r="B8" s="49" t="s">
        <v>25</v>
      </c>
      <c r="C8" s="49" t="s">
        <v>61</v>
      </c>
      <c r="D8" s="49" t="s">
        <v>60</v>
      </c>
      <c r="E8" s="49">
        <v>4.0</v>
      </c>
      <c r="F8" s="50" t="s">
        <v>87</v>
      </c>
      <c r="G8" s="50" t="s">
        <v>209</v>
      </c>
      <c r="H8" s="50" t="s">
        <v>215</v>
      </c>
      <c r="I8" s="50">
        <v>1.0</v>
      </c>
      <c r="J8" s="50" t="s">
        <v>53</v>
      </c>
      <c r="K8" s="50" t="s">
        <v>57</v>
      </c>
      <c r="L8" s="50" t="s">
        <v>53</v>
      </c>
      <c r="M8" s="50"/>
      <c r="N8" s="50"/>
      <c r="O8" s="50"/>
      <c r="P8" s="50"/>
      <c r="Q8" s="50"/>
      <c r="R8" s="50"/>
      <c r="S8" s="50"/>
      <c r="T8" s="50"/>
    </row>
    <row r="9" ht="24.0" customHeight="1">
      <c r="A9" s="46" t="s">
        <v>34</v>
      </c>
      <c r="B9" s="47" t="s">
        <v>25</v>
      </c>
      <c r="C9" s="47" t="s">
        <v>61</v>
      </c>
      <c r="D9" s="47" t="s">
        <v>60</v>
      </c>
      <c r="E9" s="47">
        <v>4.0</v>
      </c>
      <c r="F9" s="48" t="s">
        <v>87</v>
      </c>
      <c r="G9" s="48">
        <v>13.0</v>
      </c>
      <c r="H9" s="48" t="s">
        <v>402</v>
      </c>
      <c r="I9" s="48" t="s">
        <v>40</v>
      </c>
      <c r="J9" s="48" t="s">
        <v>403</v>
      </c>
      <c r="K9" s="48">
        <v>13.0</v>
      </c>
      <c r="L9" s="48" t="s">
        <v>53</v>
      </c>
      <c r="M9" s="48" t="s">
        <v>57</v>
      </c>
      <c r="N9" s="48" t="s">
        <v>53</v>
      </c>
      <c r="O9" s="48"/>
      <c r="P9" s="48"/>
      <c r="Q9" s="48"/>
      <c r="R9" s="48"/>
      <c r="S9" s="48"/>
      <c r="T9" s="48"/>
    </row>
    <row r="10" ht="24.0" customHeight="1">
      <c r="A10" s="46" t="s">
        <v>109</v>
      </c>
      <c r="B10" s="49" t="s">
        <v>25</v>
      </c>
      <c r="C10" s="49" t="s">
        <v>61</v>
      </c>
      <c r="D10" s="49" t="s">
        <v>60</v>
      </c>
      <c r="E10" s="49">
        <v>4.0</v>
      </c>
      <c r="F10" s="50" t="s">
        <v>87</v>
      </c>
      <c r="G10" s="50">
        <v>13.0</v>
      </c>
      <c r="H10" s="50" t="s">
        <v>402</v>
      </c>
      <c r="I10" s="50" t="s">
        <v>40</v>
      </c>
      <c r="J10" s="50" t="s">
        <v>403</v>
      </c>
      <c r="K10" s="50" t="s">
        <v>404</v>
      </c>
      <c r="L10" s="50" t="s">
        <v>53</v>
      </c>
      <c r="M10" s="50" t="s">
        <v>57</v>
      </c>
      <c r="N10" s="50" t="s">
        <v>53</v>
      </c>
      <c r="O10" s="50"/>
      <c r="P10" s="50"/>
      <c r="Q10" s="50"/>
      <c r="R10" s="50"/>
      <c r="S10" s="50"/>
      <c r="T10" s="50"/>
    </row>
    <row r="11" ht="24.0" customHeight="1">
      <c r="A11" s="46" t="s">
        <v>233</v>
      </c>
      <c r="B11" s="47" t="s">
        <v>25</v>
      </c>
      <c r="C11" s="47" t="s">
        <v>61</v>
      </c>
      <c r="D11" s="47" t="s">
        <v>60</v>
      </c>
      <c r="E11" s="47">
        <v>4.0</v>
      </c>
      <c r="F11" s="48" t="s">
        <v>87</v>
      </c>
      <c r="G11" s="48">
        <v>13.0</v>
      </c>
      <c r="H11" s="48" t="s">
        <v>402</v>
      </c>
      <c r="I11" s="48" t="s">
        <v>40</v>
      </c>
      <c r="J11" s="48" t="s">
        <v>403</v>
      </c>
      <c r="K11" s="48" t="s">
        <v>405</v>
      </c>
      <c r="L11" s="48" t="s">
        <v>53</v>
      </c>
      <c r="M11" s="48" t="s">
        <v>57</v>
      </c>
      <c r="N11" s="48" t="s">
        <v>53</v>
      </c>
      <c r="O11" s="48"/>
      <c r="P11" s="48"/>
      <c r="Q11" s="48"/>
      <c r="R11" s="48"/>
      <c r="S11" s="48"/>
      <c r="T11" s="48"/>
    </row>
    <row r="12" ht="24.0" customHeight="1">
      <c r="A12" s="46" t="s">
        <v>41</v>
      </c>
      <c r="B12" s="49" t="s">
        <v>25</v>
      </c>
      <c r="C12" s="49" t="s">
        <v>61</v>
      </c>
      <c r="D12" s="49" t="s">
        <v>60</v>
      </c>
      <c r="E12" s="49">
        <v>4.0</v>
      </c>
      <c r="F12" s="50" t="s">
        <v>87</v>
      </c>
      <c r="G12" s="50">
        <v>13.0</v>
      </c>
      <c r="H12" s="50" t="s">
        <v>402</v>
      </c>
      <c r="I12" s="50" t="s">
        <v>40</v>
      </c>
      <c r="J12" s="50" t="s">
        <v>403</v>
      </c>
      <c r="K12" s="50" t="s">
        <v>406</v>
      </c>
      <c r="L12" s="50" t="s">
        <v>53</v>
      </c>
      <c r="M12" s="50" t="s">
        <v>57</v>
      </c>
      <c r="N12" s="50" t="s">
        <v>53</v>
      </c>
      <c r="O12" s="50"/>
      <c r="P12" s="50"/>
      <c r="Q12" s="50"/>
      <c r="R12" s="50"/>
      <c r="S12" s="50"/>
      <c r="T12" s="50"/>
    </row>
    <row r="13" ht="24.0" customHeight="1">
      <c r="A13" s="46" t="s">
        <v>235</v>
      </c>
      <c r="B13" s="47" t="s">
        <v>25</v>
      </c>
      <c r="C13" s="47" t="s">
        <v>61</v>
      </c>
      <c r="D13" s="47" t="s">
        <v>60</v>
      </c>
      <c r="E13" s="47">
        <v>4.0</v>
      </c>
      <c r="F13" s="48" t="s">
        <v>407</v>
      </c>
      <c r="G13" s="48">
        <v>1.0</v>
      </c>
      <c r="H13" s="48" t="s">
        <v>53</v>
      </c>
      <c r="I13" s="48" t="s">
        <v>57</v>
      </c>
      <c r="J13" s="48" t="s">
        <v>53</v>
      </c>
      <c r="K13" s="48"/>
      <c r="L13" s="48"/>
      <c r="M13" s="48"/>
      <c r="N13" s="48"/>
      <c r="O13" s="48"/>
      <c r="P13" s="48"/>
      <c r="Q13" s="48"/>
      <c r="R13" s="48"/>
      <c r="S13" s="48"/>
      <c r="T13" s="48"/>
    </row>
    <row r="14" ht="24.0" customHeight="1">
      <c r="A14" s="46" t="s">
        <v>48</v>
      </c>
      <c r="B14" s="49" t="s">
        <v>25</v>
      </c>
      <c r="C14" s="49" t="s">
        <v>61</v>
      </c>
      <c r="D14" s="49" t="s">
        <v>60</v>
      </c>
      <c r="E14" s="49">
        <v>4.0</v>
      </c>
      <c r="F14" s="50" t="s">
        <v>407</v>
      </c>
      <c r="G14" s="50">
        <v>1.0</v>
      </c>
      <c r="H14" s="50" t="s">
        <v>215</v>
      </c>
      <c r="I14" s="50">
        <v>1.0</v>
      </c>
      <c r="J14" s="50" t="s">
        <v>53</v>
      </c>
      <c r="K14" s="50" t="s">
        <v>57</v>
      </c>
      <c r="L14" s="50" t="s">
        <v>53</v>
      </c>
      <c r="M14" s="50"/>
      <c r="N14" s="50"/>
      <c r="O14" s="50"/>
      <c r="P14" s="50"/>
      <c r="Q14" s="50"/>
      <c r="R14" s="50"/>
      <c r="S14" s="50"/>
      <c r="T14" s="50"/>
    </row>
    <row r="15" ht="24.0" customHeight="1">
      <c r="A15" s="46" t="s">
        <v>237</v>
      </c>
      <c r="B15" s="47" t="s">
        <v>25</v>
      </c>
      <c r="C15" s="47" t="s">
        <v>61</v>
      </c>
      <c r="D15" s="47" t="s">
        <v>60</v>
      </c>
      <c r="E15" s="47">
        <v>4.0</v>
      </c>
      <c r="F15" s="48" t="s">
        <v>87</v>
      </c>
      <c r="G15" s="48" t="s">
        <v>209</v>
      </c>
      <c r="H15" s="48" t="s">
        <v>215</v>
      </c>
      <c r="I15" s="48">
        <v>1.0</v>
      </c>
      <c r="J15" s="48" t="s">
        <v>53</v>
      </c>
      <c r="K15" s="48" t="s">
        <v>57</v>
      </c>
      <c r="L15" s="48" t="s">
        <v>53</v>
      </c>
      <c r="M15" s="48"/>
      <c r="N15" s="48"/>
      <c r="O15" s="48"/>
      <c r="P15" s="48"/>
      <c r="Q15" s="48"/>
      <c r="R15" s="48"/>
      <c r="S15" s="48"/>
      <c r="T15" s="48"/>
    </row>
    <row r="16" ht="24.0" customHeight="1">
      <c r="A16" s="46" t="s">
        <v>54</v>
      </c>
      <c r="B16" s="49" t="s">
        <v>25</v>
      </c>
      <c r="C16" s="49" t="s">
        <v>61</v>
      </c>
      <c r="D16" s="49" t="s">
        <v>60</v>
      </c>
      <c r="E16" s="49">
        <v>4.0</v>
      </c>
      <c r="F16" s="50" t="s">
        <v>87</v>
      </c>
      <c r="G16" s="50" t="s">
        <v>209</v>
      </c>
      <c r="H16" s="50" t="s">
        <v>409</v>
      </c>
      <c r="I16" s="50">
        <v>1.0</v>
      </c>
      <c r="J16" s="50" t="s">
        <v>53</v>
      </c>
      <c r="K16" s="50" t="s">
        <v>57</v>
      </c>
      <c r="L16" s="50" t="s">
        <v>53</v>
      </c>
      <c r="M16" s="50"/>
      <c r="N16" s="50"/>
      <c r="O16" s="50"/>
      <c r="P16" s="50"/>
      <c r="Q16" s="50"/>
      <c r="R16" s="50"/>
      <c r="S16" s="50"/>
      <c r="T16" s="50"/>
    </row>
    <row r="17" ht="24.0" customHeight="1">
      <c r="A17" s="46" t="s">
        <v>58</v>
      </c>
      <c r="B17" s="47" t="s">
        <v>25</v>
      </c>
      <c r="C17" s="47" t="s">
        <v>61</v>
      </c>
      <c r="D17" s="47" t="s">
        <v>60</v>
      </c>
      <c r="E17" s="47">
        <v>4.0</v>
      </c>
      <c r="F17" s="48" t="s">
        <v>87</v>
      </c>
      <c r="G17" s="48" t="s">
        <v>209</v>
      </c>
      <c r="H17" s="48" t="s">
        <v>410</v>
      </c>
      <c r="I17" s="48">
        <v>1.0</v>
      </c>
      <c r="J17" s="48" t="s">
        <v>53</v>
      </c>
      <c r="K17" s="48" t="s">
        <v>57</v>
      </c>
      <c r="L17" s="48" t="s">
        <v>53</v>
      </c>
      <c r="M17" s="48"/>
      <c r="N17" s="48"/>
      <c r="O17" s="48"/>
      <c r="P17" s="48"/>
      <c r="Q17" s="48"/>
      <c r="R17" s="48"/>
      <c r="S17" s="48"/>
      <c r="T17" s="48"/>
    </row>
    <row r="18" ht="24.0" customHeight="1">
      <c r="A18" s="46" t="s">
        <v>123</v>
      </c>
      <c r="B18" s="49" t="s">
        <v>25</v>
      </c>
      <c r="C18" s="49" t="s">
        <v>61</v>
      </c>
      <c r="D18" s="49" t="s">
        <v>60</v>
      </c>
      <c r="E18" s="49">
        <v>4.0</v>
      </c>
      <c r="F18" s="50" t="s">
        <v>87</v>
      </c>
      <c r="G18" s="50">
        <v>4.0</v>
      </c>
      <c r="H18" s="50" t="s">
        <v>79</v>
      </c>
      <c r="I18" s="50">
        <v>1.0</v>
      </c>
      <c r="J18" s="50" t="s">
        <v>53</v>
      </c>
      <c r="K18" s="50" t="s">
        <v>57</v>
      </c>
      <c r="L18" s="50" t="s">
        <v>53</v>
      </c>
      <c r="M18" s="50"/>
      <c r="N18" s="50"/>
      <c r="O18" s="50"/>
      <c r="P18" s="50"/>
      <c r="Q18" s="50"/>
      <c r="R18" s="50"/>
      <c r="S18" s="50"/>
      <c r="T18" s="50"/>
    </row>
    <row r="19" ht="24.0" customHeight="1">
      <c r="A19" s="46" t="s">
        <v>62</v>
      </c>
      <c r="B19" s="47" t="s">
        <v>25</v>
      </c>
      <c r="C19" s="47" t="s">
        <v>61</v>
      </c>
      <c r="D19" s="47" t="s">
        <v>60</v>
      </c>
      <c r="E19" s="47">
        <v>4.0</v>
      </c>
      <c r="F19" s="48" t="s">
        <v>87</v>
      </c>
      <c r="G19" s="48">
        <v>4.0</v>
      </c>
      <c r="H19" s="48" t="s">
        <v>79</v>
      </c>
      <c r="I19" s="48">
        <v>1.0</v>
      </c>
      <c r="J19" s="48" t="s">
        <v>215</v>
      </c>
      <c r="K19" s="48">
        <v>1.0</v>
      </c>
      <c r="L19" s="48" t="s">
        <v>53</v>
      </c>
      <c r="M19" s="48" t="s">
        <v>57</v>
      </c>
      <c r="N19" s="48" t="s">
        <v>53</v>
      </c>
      <c r="O19" s="48"/>
      <c r="P19" s="48"/>
      <c r="Q19" s="48"/>
      <c r="R19" s="48"/>
      <c r="S19" s="48"/>
      <c r="T19" s="48"/>
    </row>
    <row r="20" ht="24.0" customHeight="1">
      <c r="A20" s="46" t="s">
        <v>67</v>
      </c>
      <c r="B20" s="49" t="s">
        <v>25</v>
      </c>
      <c r="C20" s="49" t="s">
        <v>61</v>
      </c>
      <c r="D20" s="49" t="s">
        <v>60</v>
      </c>
      <c r="E20" s="49">
        <v>4.0</v>
      </c>
      <c r="F20" s="50" t="s">
        <v>87</v>
      </c>
      <c r="G20" s="50">
        <v>4.0</v>
      </c>
      <c r="H20" s="50" t="s">
        <v>411</v>
      </c>
      <c r="I20" s="50">
        <v>1.0</v>
      </c>
      <c r="J20" s="50" t="s">
        <v>53</v>
      </c>
      <c r="K20" s="50" t="s">
        <v>57</v>
      </c>
      <c r="L20" s="50" t="s">
        <v>53</v>
      </c>
      <c r="M20" s="50"/>
      <c r="N20" s="50"/>
      <c r="O20" s="50"/>
      <c r="P20" s="50"/>
      <c r="Q20" s="50"/>
      <c r="R20" s="50"/>
      <c r="S20" s="50"/>
      <c r="T20" s="50"/>
    </row>
    <row r="21" ht="24.0" customHeight="1">
      <c r="A21" s="46" t="s">
        <v>70</v>
      </c>
      <c r="B21" s="47" t="s">
        <v>25</v>
      </c>
      <c r="C21" s="47" t="s">
        <v>61</v>
      </c>
      <c r="D21" s="47" t="s">
        <v>60</v>
      </c>
      <c r="E21" s="47">
        <v>4.0</v>
      </c>
      <c r="F21" s="48" t="s">
        <v>87</v>
      </c>
      <c r="G21" s="48">
        <v>4.0</v>
      </c>
      <c r="H21" s="48" t="s">
        <v>411</v>
      </c>
      <c r="I21" s="48">
        <v>1.0</v>
      </c>
      <c r="J21" s="48" t="s">
        <v>215</v>
      </c>
      <c r="K21" s="48">
        <v>1.0</v>
      </c>
      <c r="L21" s="48" t="s">
        <v>53</v>
      </c>
      <c r="M21" s="48" t="s">
        <v>57</v>
      </c>
      <c r="N21" s="48" t="s">
        <v>53</v>
      </c>
      <c r="O21" s="48"/>
      <c r="P21" s="48"/>
      <c r="Q21" s="48"/>
      <c r="R21" s="48"/>
      <c r="S21" s="48"/>
      <c r="T21" s="48"/>
    </row>
    <row r="22" ht="24.0" customHeight="1">
      <c r="A22" s="46" t="s">
        <v>74</v>
      </c>
      <c r="B22" s="49" t="s">
        <v>25</v>
      </c>
      <c r="C22" s="49" t="s">
        <v>61</v>
      </c>
      <c r="D22" s="49" t="s">
        <v>60</v>
      </c>
      <c r="E22" s="49">
        <v>4.0</v>
      </c>
      <c r="F22" s="50" t="s">
        <v>87</v>
      </c>
      <c r="G22" s="50">
        <v>4.0</v>
      </c>
      <c r="H22" s="50" t="s">
        <v>412</v>
      </c>
      <c r="I22" s="50">
        <v>1.0</v>
      </c>
      <c r="J22" s="50" t="s">
        <v>53</v>
      </c>
      <c r="K22" s="50" t="s">
        <v>57</v>
      </c>
      <c r="L22" s="50" t="s">
        <v>53</v>
      </c>
      <c r="M22" s="50"/>
      <c r="N22" s="50"/>
      <c r="O22" s="50"/>
      <c r="P22" s="50"/>
      <c r="Q22" s="50"/>
      <c r="R22" s="50"/>
      <c r="S22" s="50"/>
      <c r="T22" s="50"/>
    </row>
    <row r="23" ht="24.0" customHeight="1">
      <c r="A23" s="46" t="s">
        <v>76</v>
      </c>
      <c r="B23" s="47" t="s">
        <v>25</v>
      </c>
      <c r="C23" s="47" t="s">
        <v>61</v>
      </c>
      <c r="D23" s="47" t="s">
        <v>60</v>
      </c>
      <c r="E23" s="47">
        <v>4.0</v>
      </c>
      <c r="F23" s="48" t="s">
        <v>87</v>
      </c>
      <c r="G23" s="48">
        <v>4.0</v>
      </c>
      <c r="H23" s="48" t="s">
        <v>412</v>
      </c>
      <c r="I23" s="48">
        <v>1.0</v>
      </c>
      <c r="J23" s="48" t="s">
        <v>215</v>
      </c>
      <c r="K23" s="48">
        <v>1.0</v>
      </c>
      <c r="L23" s="48" t="s">
        <v>53</v>
      </c>
      <c r="M23" s="48" t="s">
        <v>57</v>
      </c>
      <c r="N23" s="48" t="s">
        <v>53</v>
      </c>
      <c r="O23" s="48"/>
      <c r="P23" s="48"/>
      <c r="Q23" s="48"/>
      <c r="R23" s="48"/>
      <c r="S23" s="48"/>
      <c r="T23" s="48"/>
    </row>
    <row r="24" ht="24.0" customHeight="1">
      <c r="A24" s="46" t="s">
        <v>78</v>
      </c>
      <c r="B24" s="49" t="s">
        <v>25</v>
      </c>
      <c r="C24" s="49" t="s">
        <v>61</v>
      </c>
      <c r="D24" s="49" t="s">
        <v>60</v>
      </c>
      <c r="E24" s="49">
        <v>4.0</v>
      </c>
      <c r="F24" s="50" t="s">
        <v>87</v>
      </c>
      <c r="G24" s="50">
        <v>4.0</v>
      </c>
      <c r="H24" s="50" t="s">
        <v>414</v>
      </c>
      <c r="I24" s="50">
        <v>1.0</v>
      </c>
      <c r="J24" s="50" t="s">
        <v>53</v>
      </c>
      <c r="K24" s="50" t="s">
        <v>57</v>
      </c>
      <c r="L24" s="50" t="s">
        <v>53</v>
      </c>
      <c r="M24" s="50"/>
      <c r="N24" s="50"/>
      <c r="O24" s="50"/>
      <c r="P24" s="50"/>
      <c r="Q24" s="50"/>
      <c r="R24" s="50"/>
      <c r="S24" s="50"/>
      <c r="T24" s="50"/>
    </row>
    <row r="25" ht="24.0" customHeight="1">
      <c r="A25" s="46" t="s">
        <v>81</v>
      </c>
      <c r="B25" s="47" t="s">
        <v>25</v>
      </c>
      <c r="C25" s="47" t="s">
        <v>61</v>
      </c>
      <c r="D25" s="47" t="s">
        <v>60</v>
      </c>
      <c r="E25" s="47">
        <v>4.0</v>
      </c>
      <c r="F25" s="48" t="s">
        <v>87</v>
      </c>
      <c r="G25" s="48">
        <v>4.0</v>
      </c>
      <c r="H25" s="48" t="s">
        <v>414</v>
      </c>
      <c r="I25" s="48">
        <v>1.0</v>
      </c>
      <c r="J25" s="48" t="s">
        <v>215</v>
      </c>
      <c r="K25" s="48">
        <v>1.0</v>
      </c>
      <c r="L25" s="48" t="s">
        <v>53</v>
      </c>
      <c r="M25" s="48" t="s">
        <v>57</v>
      </c>
      <c r="N25" s="48" t="s">
        <v>53</v>
      </c>
      <c r="O25" s="48"/>
      <c r="P25" s="48"/>
      <c r="Q25" s="48"/>
      <c r="R25" s="48"/>
      <c r="S25" s="48"/>
      <c r="T25" s="48"/>
    </row>
    <row r="26" ht="24.0" customHeight="1">
      <c r="A26" s="46" t="s">
        <v>83</v>
      </c>
      <c r="B26" s="49" t="s">
        <v>25</v>
      </c>
      <c r="C26" s="49" t="s">
        <v>61</v>
      </c>
      <c r="D26" s="49" t="s">
        <v>60</v>
      </c>
      <c r="E26" s="49">
        <v>4.0</v>
      </c>
      <c r="F26" s="50" t="s">
        <v>87</v>
      </c>
      <c r="G26" s="50">
        <v>4.0</v>
      </c>
      <c r="H26" s="50" t="s">
        <v>407</v>
      </c>
      <c r="I26" s="50">
        <v>1.0</v>
      </c>
      <c r="J26" s="50" t="s">
        <v>53</v>
      </c>
      <c r="K26" s="50" t="s">
        <v>57</v>
      </c>
      <c r="L26" s="50" t="s">
        <v>53</v>
      </c>
      <c r="M26" s="50"/>
      <c r="N26" s="50"/>
      <c r="O26" s="50"/>
      <c r="P26" s="50"/>
      <c r="Q26" s="50"/>
      <c r="R26" s="50"/>
      <c r="S26" s="50"/>
      <c r="T26" s="50"/>
    </row>
    <row r="27" ht="24.0" customHeight="1">
      <c r="A27" s="46" t="s">
        <v>85</v>
      </c>
      <c r="B27" s="47" t="s">
        <v>25</v>
      </c>
      <c r="C27" s="47" t="s">
        <v>61</v>
      </c>
      <c r="D27" s="47" t="s">
        <v>60</v>
      </c>
      <c r="E27" s="47">
        <v>4.0</v>
      </c>
      <c r="F27" s="48" t="s">
        <v>87</v>
      </c>
      <c r="G27" s="48">
        <v>4.0</v>
      </c>
      <c r="H27" s="48" t="s">
        <v>407</v>
      </c>
      <c r="I27" s="48">
        <v>1.0</v>
      </c>
      <c r="J27" s="48" t="s">
        <v>215</v>
      </c>
      <c r="K27" s="48">
        <v>1.0</v>
      </c>
      <c r="L27" s="48" t="s">
        <v>53</v>
      </c>
      <c r="M27" s="48" t="s">
        <v>57</v>
      </c>
      <c r="N27" s="48" t="s">
        <v>53</v>
      </c>
      <c r="O27" s="48"/>
      <c r="P27" s="48"/>
      <c r="Q27" s="48"/>
      <c r="R27" s="48"/>
      <c r="S27" s="48"/>
      <c r="T27" s="48"/>
    </row>
    <row r="28" ht="24.0" customHeight="1">
      <c r="A28" s="46" t="s">
        <v>88</v>
      </c>
      <c r="B28" s="49" t="s">
        <v>25</v>
      </c>
      <c r="C28" s="49" t="s">
        <v>61</v>
      </c>
      <c r="D28" s="49" t="s">
        <v>60</v>
      </c>
      <c r="E28" s="49">
        <v>4.0</v>
      </c>
      <c r="F28" s="50" t="s">
        <v>87</v>
      </c>
      <c r="G28" s="50">
        <v>4.0</v>
      </c>
      <c r="H28" s="50" t="s">
        <v>416</v>
      </c>
      <c r="I28" s="50">
        <v>1.0</v>
      </c>
      <c r="J28" s="50" t="s">
        <v>53</v>
      </c>
      <c r="K28" s="50" t="s">
        <v>57</v>
      </c>
      <c r="L28" s="50" t="s">
        <v>53</v>
      </c>
      <c r="M28" s="50"/>
      <c r="N28" s="50"/>
      <c r="O28" s="50"/>
      <c r="P28" s="50"/>
      <c r="Q28" s="50"/>
      <c r="R28" s="50"/>
      <c r="S28" s="50"/>
      <c r="T28" s="50"/>
    </row>
    <row r="29" ht="24.0" customHeight="1">
      <c r="A29" s="46" t="s">
        <v>90</v>
      </c>
      <c r="B29" s="47" t="s">
        <v>25</v>
      </c>
      <c r="C29" s="47" t="s">
        <v>61</v>
      </c>
      <c r="D29" s="47" t="s">
        <v>60</v>
      </c>
      <c r="E29" s="47">
        <v>4.0</v>
      </c>
      <c r="F29" s="48" t="s">
        <v>87</v>
      </c>
      <c r="G29" s="48">
        <v>4.0</v>
      </c>
      <c r="H29" s="48" t="s">
        <v>416</v>
      </c>
      <c r="I29" s="48">
        <v>1.0</v>
      </c>
      <c r="J29" s="48" t="s">
        <v>215</v>
      </c>
      <c r="K29" s="48">
        <v>1.0</v>
      </c>
      <c r="L29" s="48" t="s">
        <v>53</v>
      </c>
      <c r="M29" s="48" t="s">
        <v>57</v>
      </c>
      <c r="N29" s="48" t="s">
        <v>53</v>
      </c>
      <c r="O29" s="48"/>
      <c r="P29" s="48"/>
      <c r="Q29" s="48"/>
      <c r="R29" s="48"/>
      <c r="S29" s="48"/>
      <c r="T29" s="48"/>
    </row>
    <row r="30" ht="24.0" customHeight="1">
      <c r="A30" s="46" t="s">
        <v>92</v>
      </c>
      <c r="B30" s="49" t="s">
        <v>25</v>
      </c>
      <c r="C30" s="49" t="s">
        <v>61</v>
      </c>
      <c r="D30" s="49" t="s">
        <v>60</v>
      </c>
      <c r="E30" s="49">
        <v>4.0</v>
      </c>
      <c r="F30" s="50" t="s">
        <v>87</v>
      </c>
      <c r="G30" s="50" t="s">
        <v>209</v>
      </c>
      <c r="H30" s="50" t="s">
        <v>408</v>
      </c>
      <c r="I30" s="50">
        <v>1.0</v>
      </c>
      <c r="J30" s="50" t="s">
        <v>53</v>
      </c>
      <c r="K30" s="50" t="s">
        <v>57</v>
      </c>
      <c r="L30" s="50" t="s">
        <v>53</v>
      </c>
      <c r="M30" s="50"/>
      <c r="N30" s="50"/>
      <c r="O30" s="50"/>
      <c r="P30" s="50"/>
      <c r="Q30" s="50"/>
      <c r="R30" s="50"/>
      <c r="S30" s="50"/>
      <c r="T30" s="50"/>
    </row>
    <row r="31" ht="24.0" customHeight="1">
      <c r="A31" s="46" t="s">
        <v>96</v>
      </c>
      <c r="B31" s="47" t="s">
        <v>25</v>
      </c>
      <c r="C31" s="47" t="s">
        <v>61</v>
      </c>
      <c r="D31" s="47" t="s">
        <v>60</v>
      </c>
      <c r="E31" s="47">
        <v>4.0</v>
      </c>
      <c r="F31" s="48" t="s">
        <v>87</v>
      </c>
      <c r="G31" s="48" t="s">
        <v>209</v>
      </c>
      <c r="H31" s="48" t="s">
        <v>408</v>
      </c>
      <c r="I31" s="48">
        <v>1.0</v>
      </c>
      <c r="J31" s="48" t="s">
        <v>215</v>
      </c>
      <c r="K31" s="48">
        <v>1.0</v>
      </c>
      <c r="L31" s="48" t="s">
        <v>53</v>
      </c>
      <c r="M31" s="48" t="s">
        <v>57</v>
      </c>
      <c r="N31" s="48" t="s">
        <v>53</v>
      </c>
      <c r="O31" s="48"/>
      <c r="P31" s="48"/>
      <c r="Q31" s="48"/>
      <c r="R31" s="48"/>
      <c r="S31" s="48"/>
      <c r="T31" s="48"/>
    </row>
    <row r="32" ht="24.0" customHeight="1">
      <c r="A32" s="46" t="s">
        <v>99</v>
      </c>
      <c r="B32" s="49" t="s">
        <v>25</v>
      </c>
      <c r="C32" s="49" t="s">
        <v>61</v>
      </c>
      <c r="D32" s="49" t="s">
        <v>60</v>
      </c>
      <c r="E32" s="49">
        <v>4.0</v>
      </c>
      <c r="F32" s="50" t="s">
        <v>87</v>
      </c>
      <c r="G32" s="50" t="s">
        <v>209</v>
      </c>
      <c r="H32" s="50" t="s">
        <v>410</v>
      </c>
      <c r="I32" s="50">
        <v>1.0</v>
      </c>
      <c r="J32" s="50" t="s">
        <v>53</v>
      </c>
      <c r="K32" s="50" t="s">
        <v>57</v>
      </c>
      <c r="L32" s="50" t="s">
        <v>53</v>
      </c>
      <c r="M32" s="50"/>
      <c r="N32" s="50"/>
      <c r="O32" s="50"/>
      <c r="P32" s="50"/>
      <c r="Q32" s="50"/>
      <c r="R32" s="50"/>
      <c r="S32" s="50"/>
      <c r="T32" s="50"/>
    </row>
    <row r="33" ht="24.0" customHeight="1">
      <c r="A33" s="46" t="s">
        <v>102</v>
      </c>
      <c r="B33" s="47" t="s">
        <v>25</v>
      </c>
      <c r="C33" s="47" t="s">
        <v>61</v>
      </c>
      <c r="D33" s="47" t="s">
        <v>60</v>
      </c>
      <c r="E33" s="47">
        <v>4.0</v>
      </c>
      <c r="F33" s="48" t="s">
        <v>87</v>
      </c>
      <c r="G33" s="48" t="s">
        <v>209</v>
      </c>
      <c r="H33" s="48" t="s">
        <v>410</v>
      </c>
      <c r="I33" s="48">
        <v>1.0</v>
      </c>
      <c r="J33" s="48" t="s">
        <v>215</v>
      </c>
      <c r="K33" s="48">
        <v>1.0</v>
      </c>
      <c r="L33" s="48" t="s">
        <v>53</v>
      </c>
      <c r="M33" s="48" t="s">
        <v>57</v>
      </c>
      <c r="N33" s="48" t="s">
        <v>53</v>
      </c>
      <c r="O33" s="48"/>
      <c r="P33" s="48"/>
      <c r="Q33" s="48"/>
      <c r="R33" s="48"/>
      <c r="S33" s="48"/>
      <c r="T33" s="48"/>
    </row>
    <row r="34" ht="24.0" customHeight="1">
      <c r="A34" s="46" t="s">
        <v>104</v>
      </c>
      <c r="B34" s="49" t="s">
        <v>25</v>
      </c>
      <c r="C34" s="49" t="s">
        <v>61</v>
      </c>
      <c r="D34" s="49" t="s">
        <v>60</v>
      </c>
      <c r="E34" s="49">
        <v>4.0</v>
      </c>
      <c r="F34" s="50" t="s">
        <v>87</v>
      </c>
      <c r="G34" s="50" t="s">
        <v>209</v>
      </c>
      <c r="H34" s="50" t="s">
        <v>215</v>
      </c>
      <c r="I34" s="50">
        <v>1.0</v>
      </c>
      <c r="J34" s="50" t="s">
        <v>53</v>
      </c>
      <c r="K34" s="50" t="s">
        <v>57</v>
      </c>
      <c r="L34" s="50" t="s">
        <v>53</v>
      </c>
      <c r="M34" s="50"/>
      <c r="N34" s="50"/>
      <c r="O34" s="50"/>
      <c r="P34" s="50"/>
      <c r="Q34" s="50"/>
      <c r="R34" s="50"/>
      <c r="S34" s="50"/>
      <c r="T34" s="50"/>
    </row>
    <row r="35" ht="24.0" customHeight="1">
      <c r="A35" s="46" t="s">
        <v>106</v>
      </c>
      <c r="B35" s="47" t="s">
        <v>25</v>
      </c>
      <c r="C35" s="47" t="s">
        <v>61</v>
      </c>
      <c r="D35" s="47" t="s">
        <v>60</v>
      </c>
      <c r="E35" s="47">
        <v>4.0</v>
      </c>
      <c r="F35" s="48" t="s">
        <v>87</v>
      </c>
      <c r="G35" s="48" t="s">
        <v>209</v>
      </c>
      <c r="H35" s="48" t="s">
        <v>215</v>
      </c>
      <c r="I35" s="48">
        <v>1.0</v>
      </c>
      <c r="J35" s="48" t="s">
        <v>215</v>
      </c>
      <c r="K35" s="48">
        <v>1.0</v>
      </c>
      <c r="L35" s="48" t="s">
        <v>53</v>
      </c>
      <c r="M35" s="48" t="s">
        <v>57</v>
      </c>
      <c r="N35" s="48" t="s">
        <v>53</v>
      </c>
      <c r="O35" s="48"/>
      <c r="P35" s="48"/>
      <c r="Q35" s="48"/>
      <c r="R35" s="48"/>
      <c r="S35" s="48"/>
      <c r="T35" s="48"/>
    </row>
    <row r="36" ht="24.0" customHeight="1">
      <c r="A36" s="46" t="s">
        <v>249</v>
      </c>
      <c r="B36" s="49" t="s">
        <v>25</v>
      </c>
      <c r="C36" s="49" t="s">
        <v>61</v>
      </c>
      <c r="D36" s="49" t="s">
        <v>60</v>
      </c>
      <c r="E36" s="49">
        <v>4.0</v>
      </c>
      <c r="F36" s="50" t="s">
        <v>87</v>
      </c>
      <c r="G36" s="50" t="s">
        <v>209</v>
      </c>
      <c r="H36" s="50" t="s">
        <v>417</v>
      </c>
      <c r="I36" s="50">
        <v>1.0</v>
      </c>
      <c r="J36" s="50" t="s">
        <v>53</v>
      </c>
      <c r="K36" s="50" t="s">
        <v>57</v>
      </c>
      <c r="L36" s="50" t="s">
        <v>53</v>
      </c>
      <c r="M36" s="50"/>
      <c r="N36" s="50"/>
      <c r="O36" s="50"/>
      <c r="P36" s="50"/>
      <c r="Q36" s="50"/>
      <c r="R36" s="50"/>
      <c r="S36" s="50"/>
      <c r="T36" s="50"/>
    </row>
    <row r="37" ht="24.0" customHeight="1">
      <c r="A37" s="46" t="s">
        <v>111</v>
      </c>
      <c r="B37" s="47" t="s">
        <v>25</v>
      </c>
      <c r="C37" s="47" t="s">
        <v>61</v>
      </c>
      <c r="D37" s="47" t="s">
        <v>60</v>
      </c>
      <c r="E37" s="47">
        <v>4.0</v>
      </c>
      <c r="F37" s="48" t="s">
        <v>87</v>
      </c>
      <c r="G37" s="48" t="s">
        <v>209</v>
      </c>
      <c r="H37" s="48" t="s">
        <v>417</v>
      </c>
      <c r="I37" s="48">
        <v>1.0</v>
      </c>
      <c r="J37" s="48" t="s">
        <v>215</v>
      </c>
      <c r="K37" s="48">
        <v>1.0</v>
      </c>
      <c r="L37" s="48" t="s">
        <v>53</v>
      </c>
      <c r="M37" s="48" t="s">
        <v>57</v>
      </c>
      <c r="N37" s="48" t="s">
        <v>53</v>
      </c>
      <c r="O37" s="48"/>
      <c r="P37" s="48"/>
      <c r="Q37" s="48"/>
      <c r="R37" s="48"/>
      <c r="S37" s="48"/>
      <c r="T37" s="48"/>
    </row>
    <row r="38" ht="24.0" customHeight="1">
      <c r="A38" s="46" t="s">
        <v>251</v>
      </c>
      <c r="B38" s="49" t="s">
        <v>25</v>
      </c>
      <c r="C38" s="49" t="s">
        <v>61</v>
      </c>
      <c r="D38" s="49" t="s">
        <v>60</v>
      </c>
      <c r="E38" s="49">
        <v>4.0</v>
      </c>
      <c r="F38" s="50" t="s">
        <v>87</v>
      </c>
      <c r="G38" s="50" t="s">
        <v>209</v>
      </c>
      <c r="H38" s="50" t="s">
        <v>53</v>
      </c>
      <c r="I38" s="50" t="s">
        <v>57</v>
      </c>
      <c r="J38" s="50" t="s">
        <v>53</v>
      </c>
      <c r="K38" s="50"/>
      <c r="L38" s="50"/>
      <c r="M38" s="50"/>
      <c r="N38" s="50"/>
      <c r="O38" s="50"/>
      <c r="P38" s="50"/>
      <c r="Q38" s="50"/>
      <c r="R38" s="50"/>
      <c r="S38" s="50"/>
      <c r="T38" s="50"/>
    </row>
    <row r="39" ht="24.0" customHeight="1">
      <c r="A39" s="46" t="s">
        <v>117</v>
      </c>
      <c r="B39" s="47" t="s">
        <v>25</v>
      </c>
      <c r="C39" s="47" t="s">
        <v>61</v>
      </c>
      <c r="D39" s="47" t="s">
        <v>60</v>
      </c>
      <c r="E39" s="47">
        <v>4.0</v>
      </c>
      <c r="F39" s="48" t="s">
        <v>87</v>
      </c>
      <c r="G39" s="48" t="s">
        <v>209</v>
      </c>
      <c r="H39" s="48" t="s">
        <v>53</v>
      </c>
      <c r="I39" s="48">
        <v>1.0</v>
      </c>
      <c r="J39" s="48" t="s">
        <v>215</v>
      </c>
      <c r="K39" s="48">
        <v>1.0</v>
      </c>
      <c r="L39" s="48" t="s">
        <v>53</v>
      </c>
      <c r="M39" s="48" t="s">
        <v>57</v>
      </c>
      <c r="N39" s="48" t="s">
        <v>53</v>
      </c>
      <c r="O39" s="48"/>
      <c r="P39" s="48"/>
      <c r="Q39" s="48"/>
      <c r="R39" s="48"/>
      <c r="S39" s="48"/>
      <c r="T39" s="48"/>
    </row>
    <row r="40" ht="24.0" customHeight="1">
      <c r="A40" s="46" t="s">
        <v>119</v>
      </c>
      <c r="B40" s="49" t="s">
        <v>25</v>
      </c>
      <c r="C40" s="49" t="s">
        <v>61</v>
      </c>
      <c r="D40" s="49" t="s">
        <v>60</v>
      </c>
      <c r="E40" s="49">
        <v>4.0</v>
      </c>
      <c r="F40" s="50" t="s">
        <v>419</v>
      </c>
      <c r="G40" s="50">
        <v>5.0</v>
      </c>
      <c r="H40" s="50" t="s">
        <v>420</v>
      </c>
      <c r="I40" s="50" t="s">
        <v>421</v>
      </c>
      <c r="J40" s="50" t="s">
        <v>422</v>
      </c>
      <c r="K40" s="50">
        <v>10.0</v>
      </c>
      <c r="L40" s="50" t="s">
        <v>423</v>
      </c>
      <c r="M40" s="50">
        <v>7.0</v>
      </c>
      <c r="N40" s="50" t="s">
        <v>423</v>
      </c>
      <c r="O40" s="50">
        <v>7.0</v>
      </c>
      <c r="P40" s="50" t="s">
        <v>53</v>
      </c>
      <c r="Q40" s="50" t="s">
        <v>57</v>
      </c>
      <c r="R40" s="50" t="s">
        <v>53</v>
      </c>
      <c r="S40" s="50"/>
      <c r="T40" s="50"/>
    </row>
    <row r="41" ht="24.0" customHeight="1">
      <c r="A41" s="46" t="s">
        <v>121</v>
      </c>
      <c r="B41" s="47" t="s">
        <v>25</v>
      </c>
      <c r="C41" s="47" t="s">
        <v>61</v>
      </c>
      <c r="D41" s="47" t="s">
        <v>60</v>
      </c>
      <c r="E41" s="47">
        <v>4.0</v>
      </c>
      <c r="F41" s="48" t="s">
        <v>419</v>
      </c>
      <c r="G41" s="48">
        <v>5.0</v>
      </c>
      <c r="H41" s="48" t="s">
        <v>420</v>
      </c>
      <c r="I41" s="48" t="s">
        <v>421</v>
      </c>
      <c r="J41" s="48" t="s">
        <v>422</v>
      </c>
      <c r="K41" s="48">
        <v>10.0</v>
      </c>
      <c r="L41" s="48" t="s">
        <v>423</v>
      </c>
      <c r="M41" s="48">
        <v>7.0</v>
      </c>
      <c r="N41" s="48" t="s">
        <v>423</v>
      </c>
      <c r="O41" s="48">
        <v>7.0</v>
      </c>
      <c r="P41" s="48" t="s">
        <v>215</v>
      </c>
      <c r="Q41" s="48">
        <v>1.0</v>
      </c>
      <c r="R41" s="48" t="s">
        <v>53</v>
      </c>
      <c r="S41" s="48" t="s">
        <v>57</v>
      </c>
      <c r="T41" s="48" t="s">
        <v>53</v>
      </c>
    </row>
    <row r="42" ht="24.0" customHeight="1">
      <c r="A42" s="46" t="s">
        <v>124</v>
      </c>
      <c r="B42" s="49" t="s">
        <v>25</v>
      </c>
      <c r="C42" s="49" t="s">
        <v>61</v>
      </c>
      <c r="D42" s="49" t="s">
        <v>60</v>
      </c>
      <c r="E42" s="49">
        <v>4.0</v>
      </c>
      <c r="F42" s="50" t="s">
        <v>419</v>
      </c>
      <c r="G42" s="50">
        <v>5.0</v>
      </c>
      <c r="H42" s="50" t="s">
        <v>420</v>
      </c>
      <c r="I42" s="50" t="s">
        <v>421</v>
      </c>
      <c r="J42" s="50" t="s">
        <v>422</v>
      </c>
      <c r="K42" s="50">
        <v>10.0</v>
      </c>
      <c r="L42" s="50" t="s">
        <v>423</v>
      </c>
      <c r="M42" s="50">
        <v>7.0</v>
      </c>
      <c r="N42" s="50" t="s">
        <v>423</v>
      </c>
      <c r="O42" s="50">
        <v>7.0</v>
      </c>
      <c r="P42" s="50" t="s">
        <v>417</v>
      </c>
      <c r="Q42" s="50">
        <v>1.0</v>
      </c>
      <c r="R42" s="50" t="s">
        <v>53</v>
      </c>
      <c r="S42" s="50" t="s">
        <v>57</v>
      </c>
      <c r="T42" s="50" t="s">
        <v>53</v>
      </c>
    </row>
    <row r="43" ht="24.0" customHeight="1">
      <c r="A43" s="46" t="s">
        <v>126</v>
      </c>
      <c r="B43" s="47" t="s">
        <v>25</v>
      </c>
      <c r="C43" s="47" t="s">
        <v>61</v>
      </c>
      <c r="D43" s="47" t="s">
        <v>60</v>
      </c>
      <c r="E43" s="47">
        <v>4.0</v>
      </c>
      <c r="F43" s="48" t="s">
        <v>419</v>
      </c>
      <c r="G43" s="48">
        <v>5.0</v>
      </c>
      <c r="H43" s="48" t="s">
        <v>420</v>
      </c>
      <c r="I43" s="48" t="s">
        <v>421</v>
      </c>
      <c r="J43" s="48" t="s">
        <v>422</v>
      </c>
      <c r="K43" s="48">
        <v>10.0</v>
      </c>
      <c r="L43" s="48" t="s">
        <v>423</v>
      </c>
      <c r="M43" s="48">
        <v>7.0</v>
      </c>
      <c r="N43" s="48" t="s">
        <v>423</v>
      </c>
      <c r="O43" s="48">
        <v>7.0</v>
      </c>
      <c r="P43" s="48" t="s">
        <v>52</v>
      </c>
      <c r="Q43" s="48">
        <v>1.0</v>
      </c>
      <c r="R43" s="48" t="s">
        <v>53</v>
      </c>
      <c r="S43" s="48" t="s">
        <v>57</v>
      </c>
      <c r="T43" s="48" t="s">
        <v>53</v>
      </c>
    </row>
    <row r="44" ht="24.0" customHeight="1">
      <c r="A44" s="46" t="s">
        <v>130</v>
      </c>
      <c r="B44" s="49" t="s">
        <v>25</v>
      </c>
      <c r="C44" s="49" t="s">
        <v>61</v>
      </c>
      <c r="D44" s="49" t="s">
        <v>60</v>
      </c>
      <c r="E44" s="49">
        <v>4.0</v>
      </c>
      <c r="F44" s="50" t="s">
        <v>419</v>
      </c>
      <c r="G44" s="50">
        <v>5.0</v>
      </c>
      <c r="H44" s="50" t="s">
        <v>420</v>
      </c>
      <c r="I44" s="50" t="s">
        <v>421</v>
      </c>
      <c r="J44" s="50" t="s">
        <v>422</v>
      </c>
      <c r="K44" s="50">
        <v>10.0</v>
      </c>
      <c r="L44" s="50" t="s">
        <v>423</v>
      </c>
      <c r="M44" s="50">
        <v>7.0</v>
      </c>
      <c r="N44" s="50" t="s">
        <v>423</v>
      </c>
      <c r="O44" s="50">
        <v>7.0</v>
      </c>
      <c r="P44" s="50" t="s">
        <v>53</v>
      </c>
      <c r="Q44" s="50" t="s">
        <v>57</v>
      </c>
      <c r="R44" s="50" t="s">
        <v>53</v>
      </c>
      <c r="S44" s="50"/>
      <c r="T44" s="50"/>
    </row>
    <row r="45" ht="24.0" customHeight="1">
      <c r="A45" s="46" t="s">
        <v>132</v>
      </c>
      <c r="B45" s="47" t="s">
        <v>25</v>
      </c>
      <c r="C45" s="47" t="s">
        <v>61</v>
      </c>
      <c r="D45" s="47" t="s">
        <v>60</v>
      </c>
      <c r="E45" s="47">
        <v>4.0</v>
      </c>
      <c r="F45" s="48" t="s">
        <v>419</v>
      </c>
      <c r="G45" s="48">
        <v>5.0</v>
      </c>
      <c r="H45" s="48" t="s">
        <v>420</v>
      </c>
      <c r="I45" s="48" t="s">
        <v>421</v>
      </c>
      <c r="J45" s="48" t="s">
        <v>422</v>
      </c>
      <c r="K45" s="48">
        <v>10.0</v>
      </c>
      <c r="L45" s="48" t="s">
        <v>423</v>
      </c>
      <c r="M45" s="48">
        <v>7.0</v>
      </c>
      <c r="N45" s="48" t="s">
        <v>423</v>
      </c>
      <c r="O45" s="48">
        <v>7.0</v>
      </c>
      <c r="P45" s="48" t="s">
        <v>215</v>
      </c>
      <c r="Q45" s="48">
        <v>1.0</v>
      </c>
      <c r="R45" s="48" t="s">
        <v>53</v>
      </c>
      <c r="S45" s="48" t="s">
        <v>57</v>
      </c>
      <c r="T45" s="48" t="s">
        <v>53</v>
      </c>
    </row>
    <row r="46" ht="24.0" customHeight="1">
      <c r="A46" s="46" t="s">
        <v>134</v>
      </c>
      <c r="B46" s="49" t="s">
        <v>25</v>
      </c>
      <c r="C46" s="49" t="s">
        <v>61</v>
      </c>
      <c r="D46" s="49" t="s">
        <v>60</v>
      </c>
      <c r="E46" s="49">
        <v>4.0</v>
      </c>
      <c r="F46" s="50" t="s">
        <v>419</v>
      </c>
      <c r="G46" s="50">
        <v>5.0</v>
      </c>
      <c r="H46" s="50" t="s">
        <v>420</v>
      </c>
      <c r="I46" s="50" t="s">
        <v>421</v>
      </c>
      <c r="J46" s="50" t="s">
        <v>422</v>
      </c>
      <c r="K46" s="50">
        <v>10.0</v>
      </c>
      <c r="L46" s="50" t="s">
        <v>423</v>
      </c>
      <c r="M46" s="50">
        <v>7.0</v>
      </c>
      <c r="N46" s="50" t="s">
        <v>423</v>
      </c>
      <c r="O46" s="50">
        <v>7.0</v>
      </c>
      <c r="P46" s="50" t="s">
        <v>417</v>
      </c>
      <c r="Q46" s="50">
        <v>1.0</v>
      </c>
      <c r="R46" s="50" t="s">
        <v>53</v>
      </c>
      <c r="S46" s="50" t="s">
        <v>57</v>
      </c>
      <c r="T46" s="50" t="s">
        <v>53</v>
      </c>
    </row>
    <row r="47" ht="24.0" customHeight="1">
      <c r="A47" s="46" t="s">
        <v>136</v>
      </c>
      <c r="B47" s="47" t="s">
        <v>25</v>
      </c>
      <c r="C47" s="47" t="s">
        <v>61</v>
      </c>
      <c r="D47" s="47" t="s">
        <v>60</v>
      </c>
      <c r="E47" s="47">
        <v>4.0</v>
      </c>
      <c r="F47" s="48" t="s">
        <v>419</v>
      </c>
      <c r="G47" s="48">
        <v>5.0</v>
      </c>
      <c r="H47" s="48" t="s">
        <v>420</v>
      </c>
      <c r="I47" s="48" t="s">
        <v>421</v>
      </c>
      <c r="J47" s="48" t="s">
        <v>422</v>
      </c>
      <c r="K47" s="48">
        <v>10.0</v>
      </c>
      <c r="L47" s="48" t="s">
        <v>423</v>
      </c>
      <c r="M47" s="48">
        <v>7.0</v>
      </c>
      <c r="N47" s="48" t="s">
        <v>423</v>
      </c>
      <c r="O47" s="48">
        <v>7.0</v>
      </c>
      <c r="P47" s="48" t="s">
        <v>52</v>
      </c>
      <c r="Q47" s="48">
        <v>1.0</v>
      </c>
      <c r="R47" s="48" t="s">
        <v>53</v>
      </c>
      <c r="S47" s="48" t="s">
        <v>57</v>
      </c>
      <c r="T47" s="48" t="s">
        <v>53</v>
      </c>
    </row>
    <row r="48" ht="24.0" customHeight="1">
      <c r="A48" s="46" t="s">
        <v>138</v>
      </c>
      <c r="B48" s="49" t="s">
        <v>25</v>
      </c>
      <c r="C48" s="49" t="s">
        <v>61</v>
      </c>
      <c r="D48" s="49" t="s">
        <v>60</v>
      </c>
      <c r="E48" s="49">
        <v>4.0</v>
      </c>
      <c r="F48" s="50" t="s">
        <v>419</v>
      </c>
      <c r="G48" s="50">
        <v>5.0</v>
      </c>
      <c r="H48" s="50" t="s">
        <v>420</v>
      </c>
      <c r="I48" s="50" t="s">
        <v>421</v>
      </c>
      <c r="J48" s="50" t="s">
        <v>422</v>
      </c>
      <c r="K48" s="50">
        <v>10.0</v>
      </c>
      <c r="L48" s="50" t="s">
        <v>423</v>
      </c>
      <c r="M48" s="50">
        <v>7.0</v>
      </c>
      <c r="N48" s="50" t="s">
        <v>423</v>
      </c>
      <c r="O48" s="50">
        <v>7.0</v>
      </c>
      <c r="P48" s="50" t="s">
        <v>53</v>
      </c>
      <c r="Q48" s="50" t="s">
        <v>57</v>
      </c>
      <c r="R48" s="50" t="s">
        <v>53</v>
      </c>
      <c r="S48" s="50"/>
      <c r="T48" s="50"/>
    </row>
    <row r="49" ht="24.0" customHeight="1">
      <c r="A49" s="46" t="s">
        <v>140</v>
      </c>
      <c r="B49" s="47" t="s">
        <v>25</v>
      </c>
      <c r="C49" s="47" t="s">
        <v>61</v>
      </c>
      <c r="D49" s="47" t="s">
        <v>60</v>
      </c>
      <c r="E49" s="47">
        <v>4.0</v>
      </c>
      <c r="F49" s="48" t="s">
        <v>419</v>
      </c>
      <c r="G49" s="48">
        <v>5.0</v>
      </c>
      <c r="H49" s="48" t="s">
        <v>420</v>
      </c>
      <c r="I49" s="48" t="s">
        <v>421</v>
      </c>
      <c r="J49" s="48" t="s">
        <v>422</v>
      </c>
      <c r="K49" s="48">
        <v>10.0</v>
      </c>
      <c r="L49" s="48" t="s">
        <v>423</v>
      </c>
      <c r="M49" s="48">
        <v>7.0</v>
      </c>
      <c r="N49" s="48" t="s">
        <v>423</v>
      </c>
      <c r="O49" s="48">
        <v>7.0</v>
      </c>
      <c r="P49" s="48" t="s">
        <v>215</v>
      </c>
      <c r="Q49" s="48">
        <v>1.0</v>
      </c>
      <c r="R49" s="48" t="s">
        <v>53</v>
      </c>
      <c r="S49" s="48" t="s">
        <v>57</v>
      </c>
      <c r="T49" s="48" t="s">
        <v>53</v>
      </c>
    </row>
    <row r="50" ht="24.0" customHeight="1">
      <c r="A50" s="46" t="s">
        <v>142</v>
      </c>
      <c r="B50" s="49" t="s">
        <v>25</v>
      </c>
      <c r="C50" s="49" t="s">
        <v>61</v>
      </c>
      <c r="D50" s="49" t="s">
        <v>60</v>
      </c>
      <c r="E50" s="49">
        <v>4.0</v>
      </c>
      <c r="F50" s="50" t="s">
        <v>419</v>
      </c>
      <c r="G50" s="50">
        <v>5.0</v>
      </c>
      <c r="H50" s="50" t="s">
        <v>420</v>
      </c>
      <c r="I50" s="50" t="s">
        <v>421</v>
      </c>
      <c r="J50" s="50" t="s">
        <v>422</v>
      </c>
      <c r="K50" s="50">
        <v>10.0</v>
      </c>
      <c r="L50" s="50" t="s">
        <v>423</v>
      </c>
      <c r="M50" s="50">
        <v>7.0</v>
      </c>
      <c r="N50" s="50" t="s">
        <v>423</v>
      </c>
      <c r="O50" s="50">
        <v>7.0</v>
      </c>
      <c r="P50" s="50" t="s">
        <v>417</v>
      </c>
      <c r="Q50" s="50">
        <v>1.0</v>
      </c>
      <c r="R50" s="50" t="s">
        <v>53</v>
      </c>
      <c r="S50" s="50" t="s">
        <v>57</v>
      </c>
      <c r="T50" s="50" t="s">
        <v>53</v>
      </c>
    </row>
    <row r="51" ht="24.0" customHeight="1">
      <c r="A51" s="46" t="s">
        <v>144</v>
      </c>
      <c r="B51" s="47" t="s">
        <v>25</v>
      </c>
      <c r="C51" s="47" t="s">
        <v>61</v>
      </c>
      <c r="D51" s="47" t="s">
        <v>60</v>
      </c>
      <c r="E51" s="47">
        <v>4.0</v>
      </c>
      <c r="F51" s="48" t="s">
        <v>419</v>
      </c>
      <c r="G51" s="48">
        <v>5.0</v>
      </c>
      <c r="H51" s="48" t="s">
        <v>420</v>
      </c>
      <c r="I51" s="48" t="s">
        <v>421</v>
      </c>
      <c r="J51" s="48" t="s">
        <v>422</v>
      </c>
      <c r="K51" s="48">
        <v>10.0</v>
      </c>
      <c r="L51" s="48" t="s">
        <v>423</v>
      </c>
      <c r="M51" s="48">
        <v>7.0</v>
      </c>
      <c r="N51" s="48" t="s">
        <v>423</v>
      </c>
      <c r="O51" s="48">
        <v>7.0</v>
      </c>
      <c r="P51" s="48" t="s">
        <v>52</v>
      </c>
      <c r="Q51" s="48">
        <v>1.0</v>
      </c>
      <c r="R51" s="48" t="s">
        <v>53</v>
      </c>
      <c r="S51" s="48" t="s">
        <v>57</v>
      </c>
      <c r="T51" s="48" t="s">
        <v>53</v>
      </c>
    </row>
    <row r="52" ht="24.0" customHeight="1">
      <c r="A52" s="46" t="s">
        <v>146</v>
      </c>
      <c r="B52" s="49" t="s">
        <v>25</v>
      </c>
      <c r="C52" s="49" t="s">
        <v>61</v>
      </c>
      <c r="D52" s="49" t="s">
        <v>60</v>
      </c>
      <c r="E52" s="49">
        <v>4.0</v>
      </c>
      <c r="F52" s="50" t="s">
        <v>419</v>
      </c>
      <c r="G52" s="50">
        <v>5.0</v>
      </c>
      <c r="H52" s="50" t="s">
        <v>420</v>
      </c>
      <c r="I52" s="50" t="s">
        <v>421</v>
      </c>
      <c r="J52" s="50" t="s">
        <v>422</v>
      </c>
      <c r="K52" s="50">
        <v>10.0</v>
      </c>
      <c r="L52" s="50" t="s">
        <v>423</v>
      </c>
      <c r="M52" s="50">
        <v>7.0</v>
      </c>
      <c r="N52" s="50" t="s">
        <v>423</v>
      </c>
      <c r="O52" s="50">
        <v>7.0</v>
      </c>
      <c r="P52" s="50" t="s">
        <v>53</v>
      </c>
      <c r="Q52" s="50" t="s">
        <v>57</v>
      </c>
      <c r="R52" s="50" t="s">
        <v>53</v>
      </c>
      <c r="S52" s="50"/>
      <c r="T52" s="50"/>
    </row>
    <row r="53" ht="24.0" customHeight="1">
      <c r="A53" s="46" t="s">
        <v>148</v>
      </c>
      <c r="B53" s="47" t="s">
        <v>25</v>
      </c>
      <c r="C53" s="47" t="s">
        <v>61</v>
      </c>
      <c r="D53" s="47" t="s">
        <v>60</v>
      </c>
      <c r="E53" s="47">
        <v>4.0</v>
      </c>
      <c r="F53" s="48" t="s">
        <v>419</v>
      </c>
      <c r="G53" s="48">
        <v>5.0</v>
      </c>
      <c r="H53" s="48" t="s">
        <v>420</v>
      </c>
      <c r="I53" s="48" t="s">
        <v>421</v>
      </c>
      <c r="J53" s="48" t="s">
        <v>422</v>
      </c>
      <c r="K53" s="48">
        <v>10.0</v>
      </c>
      <c r="L53" s="48" t="s">
        <v>423</v>
      </c>
      <c r="M53" s="48">
        <v>7.0</v>
      </c>
      <c r="N53" s="48" t="s">
        <v>423</v>
      </c>
      <c r="O53" s="48">
        <v>7.0</v>
      </c>
      <c r="P53" s="48" t="s">
        <v>215</v>
      </c>
      <c r="Q53" s="48">
        <v>1.0</v>
      </c>
      <c r="R53" s="48" t="s">
        <v>53</v>
      </c>
      <c r="S53" s="48" t="s">
        <v>57</v>
      </c>
      <c r="T53" s="48" t="s">
        <v>53</v>
      </c>
    </row>
    <row r="54" ht="24.0" customHeight="1">
      <c r="A54" s="46" t="s">
        <v>150</v>
      </c>
      <c r="B54" s="49" t="s">
        <v>25</v>
      </c>
      <c r="C54" s="49" t="s">
        <v>61</v>
      </c>
      <c r="D54" s="49" t="s">
        <v>60</v>
      </c>
      <c r="E54" s="49">
        <v>4.0</v>
      </c>
      <c r="F54" s="50" t="s">
        <v>419</v>
      </c>
      <c r="G54" s="50">
        <v>5.0</v>
      </c>
      <c r="H54" s="50" t="s">
        <v>420</v>
      </c>
      <c r="I54" s="50" t="s">
        <v>421</v>
      </c>
      <c r="J54" s="50" t="s">
        <v>422</v>
      </c>
      <c r="K54" s="50">
        <v>10.0</v>
      </c>
      <c r="L54" s="50" t="s">
        <v>423</v>
      </c>
      <c r="M54" s="50">
        <v>7.0</v>
      </c>
      <c r="N54" s="50" t="s">
        <v>423</v>
      </c>
      <c r="O54" s="50">
        <v>7.0</v>
      </c>
      <c r="P54" s="50" t="s">
        <v>417</v>
      </c>
      <c r="Q54" s="50">
        <v>1.0</v>
      </c>
      <c r="R54" s="50" t="s">
        <v>53</v>
      </c>
      <c r="S54" s="50" t="s">
        <v>57</v>
      </c>
      <c r="T54" s="50" t="s">
        <v>53</v>
      </c>
    </row>
    <row r="55" ht="24.0" customHeight="1">
      <c r="A55" s="46" t="s">
        <v>153</v>
      </c>
      <c r="B55" s="47" t="s">
        <v>25</v>
      </c>
      <c r="C55" s="47" t="s">
        <v>61</v>
      </c>
      <c r="D55" s="47" t="s">
        <v>60</v>
      </c>
      <c r="E55" s="47">
        <v>4.0</v>
      </c>
      <c r="F55" s="48" t="s">
        <v>419</v>
      </c>
      <c r="G55" s="48">
        <v>5.0</v>
      </c>
      <c r="H55" s="48" t="s">
        <v>420</v>
      </c>
      <c r="I55" s="48" t="s">
        <v>421</v>
      </c>
      <c r="J55" s="48" t="s">
        <v>422</v>
      </c>
      <c r="K55" s="48">
        <v>10.0</v>
      </c>
      <c r="L55" s="48" t="s">
        <v>423</v>
      </c>
      <c r="M55" s="48">
        <v>7.0</v>
      </c>
      <c r="N55" s="48" t="s">
        <v>423</v>
      </c>
      <c r="O55" s="48">
        <v>7.0</v>
      </c>
      <c r="P55" s="48" t="s">
        <v>52</v>
      </c>
      <c r="Q55" s="48">
        <v>1.0</v>
      </c>
      <c r="R55" s="48" t="s">
        <v>53</v>
      </c>
      <c r="S55" s="48" t="s">
        <v>57</v>
      </c>
      <c r="T55" s="48" t="s">
        <v>53</v>
      </c>
    </row>
    <row r="56" ht="24.0" customHeight="1">
      <c r="A56" s="46" t="s">
        <v>156</v>
      </c>
      <c r="B56" s="49" t="s">
        <v>25</v>
      </c>
      <c r="C56" s="49" t="s">
        <v>61</v>
      </c>
      <c r="D56" s="49" t="s">
        <v>60</v>
      </c>
      <c r="E56" s="49">
        <v>4.0</v>
      </c>
      <c r="F56" s="50" t="s">
        <v>419</v>
      </c>
      <c r="G56" s="50">
        <v>5.0</v>
      </c>
      <c r="H56" s="50" t="s">
        <v>420</v>
      </c>
      <c r="I56" s="50" t="s">
        <v>421</v>
      </c>
      <c r="J56" s="50" t="s">
        <v>422</v>
      </c>
      <c r="K56" s="50">
        <v>10.0</v>
      </c>
      <c r="L56" s="50" t="s">
        <v>423</v>
      </c>
      <c r="M56" s="50">
        <v>7.0</v>
      </c>
      <c r="N56" s="50" t="s">
        <v>423</v>
      </c>
      <c r="O56" s="50">
        <v>7.0</v>
      </c>
      <c r="P56" s="50" t="s">
        <v>53</v>
      </c>
      <c r="Q56" s="50" t="s">
        <v>57</v>
      </c>
      <c r="R56" s="50" t="s">
        <v>53</v>
      </c>
      <c r="S56" s="50"/>
      <c r="T56" s="50"/>
    </row>
    <row r="57" ht="24.0" customHeight="1">
      <c r="A57" s="46" t="s">
        <v>158</v>
      </c>
      <c r="B57" s="47" t="s">
        <v>25</v>
      </c>
      <c r="C57" s="47" t="s">
        <v>61</v>
      </c>
      <c r="D57" s="47" t="s">
        <v>60</v>
      </c>
      <c r="E57" s="47">
        <v>4.0</v>
      </c>
      <c r="F57" s="48" t="s">
        <v>419</v>
      </c>
      <c r="G57" s="48">
        <v>5.0</v>
      </c>
      <c r="H57" s="48" t="s">
        <v>420</v>
      </c>
      <c r="I57" s="48" t="s">
        <v>421</v>
      </c>
      <c r="J57" s="48" t="s">
        <v>422</v>
      </c>
      <c r="K57" s="48">
        <v>10.0</v>
      </c>
      <c r="L57" s="48" t="s">
        <v>423</v>
      </c>
      <c r="M57" s="48">
        <v>7.0</v>
      </c>
      <c r="N57" s="48" t="s">
        <v>423</v>
      </c>
      <c r="O57" s="48">
        <v>7.0</v>
      </c>
      <c r="P57" s="48" t="s">
        <v>215</v>
      </c>
      <c r="Q57" s="48">
        <v>1.0</v>
      </c>
      <c r="R57" s="48" t="s">
        <v>53</v>
      </c>
      <c r="S57" s="48" t="s">
        <v>57</v>
      </c>
      <c r="T57" s="48" t="s">
        <v>53</v>
      </c>
    </row>
    <row r="58" ht="24.0" customHeight="1">
      <c r="A58" s="46" t="s">
        <v>160</v>
      </c>
      <c r="B58" s="49" t="s">
        <v>25</v>
      </c>
      <c r="C58" s="49" t="s">
        <v>61</v>
      </c>
      <c r="D58" s="49" t="s">
        <v>60</v>
      </c>
      <c r="E58" s="49">
        <v>4.0</v>
      </c>
      <c r="F58" s="50" t="s">
        <v>419</v>
      </c>
      <c r="G58" s="50">
        <v>5.0</v>
      </c>
      <c r="H58" s="50" t="s">
        <v>420</v>
      </c>
      <c r="I58" s="50" t="s">
        <v>421</v>
      </c>
      <c r="J58" s="50" t="s">
        <v>422</v>
      </c>
      <c r="K58" s="50">
        <v>10.0</v>
      </c>
      <c r="L58" s="50" t="s">
        <v>423</v>
      </c>
      <c r="M58" s="50">
        <v>7.0</v>
      </c>
      <c r="N58" s="50" t="s">
        <v>423</v>
      </c>
      <c r="O58" s="50">
        <v>7.0</v>
      </c>
      <c r="P58" s="50" t="s">
        <v>417</v>
      </c>
      <c r="Q58" s="50">
        <v>1.0</v>
      </c>
      <c r="R58" s="50" t="s">
        <v>53</v>
      </c>
      <c r="S58" s="50" t="s">
        <v>57</v>
      </c>
      <c r="T58" s="50" t="s">
        <v>53</v>
      </c>
    </row>
    <row r="59" ht="24.0" customHeight="1">
      <c r="A59" s="46" t="s">
        <v>162</v>
      </c>
      <c r="B59" s="47" t="s">
        <v>25</v>
      </c>
      <c r="C59" s="47" t="s">
        <v>61</v>
      </c>
      <c r="D59" s="47" t="s">
        <v>60</v>
      </c>
      <c r="E59" s="47">
        <v>4.0</v>
      </c>
      <c r="F59" s="48" t="s">
        <v>419</v>
      </c>
      <c r="G59" s="48">
        <v>5.0</v>
      </c>
      <c r="H59" s="48" t="s">
        <v>420</v>
      </c>
      <c r="I59" s="48" t="s">
        <v>421</v>
      </c>
      <c r="J59" s="48" t="s">
        <v>422</v>
      </c>
      <c r="K59" s="48">
        <v>10.0</v>
      </c>
      <c r="L59" s="48" t="s">
        <v>423</v>
      </c>
      <c r="M59" s="48">
        <v>7.0</v>
      </c>
      <c r="N59" s="48" t="s">
        <v>423</v>
      </c>
      <c r="O59" s="48">
        <v>7.0</v>
      </c>
      <c r="P59" s="48" t="s">
        <v>52</v>
      </c>
      <c r="Q59" s="48">
        <v>1.0</v>
      </c>
      <c r="R59" s="48" t="s">
        <v>53</v>
      </c>
      <c r="S59" s="48" t="s">
        <v>57</v>
      </c>
      <c r="T59" s="48" t="s">
        <v>53</v>
      </c>
    </row>
    <row r="60" ht="24.0" customHeight="1">
      <c r="A60" s="46" t="s">
        <v>270</v>
      </c>
      <c r="B60" s="49" t="s">
        <v>25</v>
      </c>
      <c r="C60" s="49" t="s">
        <v>61</v>
      </c>
      <c r="D60" s="49" t="s">
        <v>60</v>
      </c>
      <c r="E60" s="49">
        <v>4.0</v>
      </c>
      <c r="F60" s="50" t="s">
        <v>419</v>
      </c>
      <c r="G60" s="50">
        <v>5.0</v>
      </c>
      <c r="H60" s="50" t="s">
        <v>420</v>
      </c>
      <c r="I60" s="50" t="s">
        <v>421</v>
      </c>
      <c r="J60" s="50" t="s">
        <v>422</v>
      </c>
      <c r="K60" s="50">
        <v>10.0</v>
      </c>
      <c r="L60" s="50" t="s">
        <v>423</v>
      </c>
      <c r="M60" s="50">
        <v>7.0</v>
      </c>
      <c r="N60" s="50" t="s">
        <v>423</v>
      </c>
      <c r="O60" s="50">
        <v>7.0</v>
      </c>
      <c r="P60" s="50" t="s">
        <v>53</v>
      </c>
      <c r="Q60" s="50" t="s">
        <v>57</v>
      </c>
      <c r="R60" s="50" t="s">
        <v>53</v>
      </c>
      <c r="S60" s="50"/>
      <c r="T60" s="50"/>
    </row>
    <row r="61" ht="24.0" customHeight="1">
      <c r="A61" s="46" t="s">
        <v>272</v>
      </c>
      <c r="B61" s="47" t="s">
        <v>25</v>
      </c>
      <c r="C61" s="47" t="s">
        <v>61</v>
      </c>
      <c r="D61" s="47" t="s">
        <v>60</v>
      </c>
      <c r="E61" s="47">
        <v>4.0</v>
      </c>
      <c r="F61" s="48" t="s">
        <v>419</v>
      </c>
      <c r="G61" s="48">
        <v>5.0</v>
      </c>
      <c r="H61" s="48" t="s">
        <v>420</v>
      </c>
      <c r="I61" s="48" t="s">
        <v>421</v>
      </c>
      <c r="J61" s="48" t="s">
        <v>422</v>
      </c>
      <c r="K61" s="48">
        <v>10.0</v>
      </c>
      <c r="L61" s="48" t="s">
        <v>423</v>
      </c>
      <c r="M61" s="48">
        <v>7.0</v>
      </c>
      <c r="N61" s="48" t="s">
        <v>423</v>
      </c>
      <c r="O61" s="48">
        <v>7.0</v>
      </c>
      <c r="P61" s="48" t="s">
        <v>215</v>
      </c>
      <c r="Q61" s="48">
        <v>1.0</v>
      </c>
      <c r="R61" s="48" t="s">
        <v>53</v>
      </c>
      <c r="S61" s="48" t="s">
        <v>57</v>
      </c>
      <c r="T61" s="48" t="s">
        <v>53</v>
      </c>
    </row>
    <row r="62" ht="24.0" customHeight="1">
      <c r="A62" s="46" t="s">
        <v>274</v>
      </c>
      <c r="B62" s="49" t="s">
        <v>25</v>
      </c>
      <c r="C62" s="49" t="s">
        <v>61</v>
      </c>
      <c r="D62" s="49" t="s">
        <v>60</v>
      </c>
      <c r="E62" s="49">
        <v>4.0</v>
      </c>
      <c r="F62" s="50" t="s">
        <v>419</v>
      </c>
      <c r="G62" s="50">
        <v>5.0</v>
      </c>
      <c r="H62" s="50" t="s">
        <v>420</v>
      </c>
      <c r="I62" s="50" t="s">
        <v>421</v>
      </c>
      <c r="J62" s="50" t="s">
        <v>422</v>
      </c>
      <c r="K62" s="50">
        <v>10.0</v>
      </c>
      <c r="L62" s="50" t="s">
        <v>423</v>
      </c>
      <c r="M62" s="50">
        <v>7.0</v>
      </c>
      <c r="N62" s="50" t="s">
        <v>423</v>
      </c>
      <c r="O62" s="50">
        <v>7.0</v>
      </c>
      <c r="P62" s="50" t="s">
        <v>417</v>
      </c>
      <c r="Q62" s="50">
        <v>1.0</v>
      </c>
      <c r="R62" s="50" t="s">
        <v>53</v>
      </c>
      <c r="S62" s="50" t="s">
        <v>57</v>
      </c>
      <c r="T62" s="50" t="s">
        <v>53</v>
      </c>
    </row>
    <row r="63" ht="24.0" customHeight="1">
      <c r="A63" s="46" t="s">
        <v>276</v>
      </c>
      <c r="B63" s="47" t="s">
        <v>25</v>
      </c>
      <c r="C63" s="47" t="s">
        <v>61</v>
      </c>
      <c r="D63" s="47" t="s">
        <v>60</v>
      </c>
      <c r="E63" s="47">
        <v>4.0</v>
      </c>
      <c r="F63" s="48" t="s">
        <v>419</v>
      </c>
      <c r="G63" s="48">
        <v>5.0</v>
      </c>
      <c r="H63" s="48" t="s">
        <v>420</v>
      </c>
      <c r="I63" s="48" t="s">
        <v>421</v>
      </c>
      <c r="J63" s="48" t="s">
        <v>422</v>
      </c>
      <c r="K63" s="48">
        <v>10.0</v>
      </c>
      <c r="L63" s="48" t="s">
        <v>423</v>
      </c>
      <c r="M63" s="48">
        <v>7.0</v>
      </c>
      <c r="N63" s="48" t="s">
        <v>423</v>
      </c>
      <c r="O63" s="48">
        <v>7.0</v>
      </c>
      <c r="P63" s="48" t="s">
        <v>52</v>
      </c>
      <c r="Q63" s="48">
        <v>1.0</v>
      </c>
      <c r="R63" s="48" t="s">
        <v>53</v>
      </c>
      <c r="S63" s="48" t="s">
        <v>57</v>
      </c>
      <c r="T63" s="48" t="s">
        <v>53</v>
      </c>
    </row>
    <row r="64" ht="24.0" customHeight="1">
      <c r="A64" s="46" t="s">
        <v>278</v>
      </c>
      <c r="B64" s="49" t="s">
        <v>25</v>
      </c>
      <c r="C64" s="49" t="s">
        <v>61</v>
      </c>
      <c r="D64" s="49" t="s">
        <v>60</v>
      </c>
      <c r="E64" s="49">
        <v>4.0</v>
      </c>
      <c r="F64" s="50" t="s">
        <v>419</v>
      </c>
      <c r="G64" s="50">
        <v>5.0</v>
      </c>
      <c r="H64" s="50" t="s">
        <v>420</v>
      </c>
      <c r="I64" s="50" t="s">
        <v>421</v>
      </c>
      <c r="J64" s="50" t="s">
        <v>422</v>
      </c>
      <c r="K64" s="50">
        <v>10.0</v>
      </c>
      <c r="L64" s="50" t="s">
        <v>423</v>
      </c>
      <c r="M64" s="50">
        <v>7.0</v>
      </c>
      <c r="N64" s="50" t="s">
        <v>423</v>
      </c>
      <c r="O64" s="50">
        <v>7.0</v>
      </c>
      <c r="P64" s="50" t="s">
        <v>53</v>
      </c>
      <c r="Q64" s="50" t="s">
        <v>57</v>
      </c>
      <c r="R64" s="50" t="s">
        <v>53</v>
      </c>
      <c r="S64" s="50"/>
      <c r="T64" s="50"/>
    </row>
    <row r="65" ht="24.0" customHeight="1">
      <c r="A65" s="46" t="s">
        <v>280</v>
      </c>
      <c r="B65" s="47" t="s">
        <v>25</v>
      </c>
      <c r="C65" s="47" t="s">
        <v>61</v>
      </c>
      <c r="D65" s="47" t="s">
        <v>60</v>
      </c>
      <c r="E65" s="47">
        <v>4.0</v>
      </c>
      <c r="F65" s="48" t="s">
        <v>419</v>
      </c>
      <c r="G65" s="48">
        <v>5.0</v>
      </c>
      <c r="H65" s="48" t="s">
        <v>420</v>
      </c>
      <c r="I65" s="48" t="s">
        <v>421</v>
      </c>
      <c r="J65" s="48" t="s">
        <v>422</v>
      </c>
      <c r="K65" s="48">
        <v>10.0</v>
      </c>
      <c r="L65" s="48" t="s">
        <v>423</v>
      </c>
      <c r="M65" s="48">
        <v>7.0</v>
      </c>
      <c r="N65" s="48" t="s">
        <v>423</v>
      </c>
      <c r="O65" s="48">
        <v>7.0</v>
      </c>
      <c r="P65" s="48" t="s">
        <v>215</v>
      </c>
      <c r="Q65" s="48">
        <v>1.0</v>
      </c>
      <c r="R65" s="48" t="s">
        <v>53</v>
      </c>
      <c r="S65" s="48" t="s">
        <v>57</v>
      </c>
      <c r="T65" s="48" t="s">
        <v>53</v>
      </c>
    </row>
    <row r="66" ht="24.0" customHeight="1">
      <c r="A66" s="46" t="s">
        <v>167</v>
      </c>
      <c r="B66" s="49" t="s">
        <v>25</v>
      </c>
      <c r="C66" s="49" t="s">
        <v>61</v>
      </c>
      <c r="D66" s="49" t="s">
        <v>60</v>
      </c>
      <c r="E66" s="49">
        <v>4.0</v>
      </c>
      <c r="F66" s="50" t="s">
        <v>419</v>
      </c>
      <c r="G66" s="50">
        <v>5.0</v>
      </c>
      <c r="H66" s="50" t="s">
        <v>420</v>
      </c>
      <c r="I66" s="50" t="s">
        <v>421</v>
      </c>
      <c r="J66" s="50" t="s">
        <v>422</v>
      </c>
      <c r="K66" s="50">
        <v>10.0</v>
      </c>
      <c r="L66" s="50" t="s">
        <v>423</v>
      </c>
      <c r="M66" s="50">
        <v>7.0</v>
      </c>
      <c r="N66" s="50" t="s">
        <v>423</v>
      </c>
      <c r="O66" s="50">
        <v>7.0</v>
      </c>
      <c r="P66" s="50" t="s">
        <v>417</v>
      </c>
      <c r="Q66" s="50">
        <v>1.0</v>
      </c>
      <c r="R66" s="50" t="s">
        <v>53</v>
      </c>
      <c r="S66" s="50" t="s">
        <v>57</v>
      </c>
      <c r="T66" s="50" t="s">
        <v>53</v>
      </c>
    </row>
    <row r="67" ht="24.0" customHeight="1">
      <c r="A67" s="46" t="s">
        <v>169</v>
      </c>
      <c r="B67" s="47" t="s">
        <v>25</v>
      </c>
      <c r="C67" s="47" t="s">
        <v>61</v>
      </c>
      <c r="D67" s="47" t="s">
        <v>60</v>
      </c>
      <c r="E67" s="47">
        <v>4.0</v>
      </c>
      <c r="F67" s="48" t="s">
        <v>419</v>
      </c>
      <c r="G67" s="48">
        <v>5.0</v>
      </c>
      <c r="H67" s="48" t="s">
        <v>420</v>
      </c>
      <c r="I67" s="48" t="s">
        <v>421</v>
      </c>
      <c r="J67" s="48" t="s">
        <v>422</v>
      </c>
      <c r="K67" s="48">
        <v>10.0</v>
      </c>
      <c r="L67" s="48" t="s">
        <v>423</v>
      </c>
      <c r="M67" s="48">
        <v>7.0</v>
      </c>
      <c r="N67" s="48" t="s">
        <v>423</v>
      </c>
      <c r="O67" s="48">
        <v>7.0</v>
      </c>
      <c r="P67" s="48" t="s">
        <v>52</v>
      </c>
      <c r="Q67" s="48">
        <v>1.0</v>
      </c>
      <c r="R67" s="48" t="s">
        <v>53</v>
      </c>
      <c r="S67" s="48" t="s">
        <v>57</v>
      </c>
      <c r="T67" s="48" t="s">
        <v>53</v>
      </c>
    </row>
    <row r="68" ht="24.0" customHeight="1">
      <c r="A68" s="46" t="s">
        <v>171</v>
      </c>
      <c r="B68" s="49" t="s">
        <v>25</v>
      </c>
      <c r="C68" s="49" t="s">
        <v>61</v>
      </c>
      <c r="D68" s="49" t="s">
        <v>60</v>
      </c>
      <c r="E68" s="49">
        <v>4.0</v>
      </c>
      <c r="F68" s="50" t="s">
        <v>419</v>
      </c>
      <c r="G68" s="50">
        <v>5.0</v>
      </c>
      <c r="H68" s="50" t="s">
        <v>420</v>
      </c>
      <c r="I68" s="50" t="s">
        <v>421</v>
      </c>
      <c r="J68" s="50" t="s">
        <v>422</v>
      </c>
      <c r="K68" s="50">
        <v>10.0</v>
      </c>
      <c r="L68" s="50" t="s">
        <v>423</v>
      </c>
      <c r="M68" s="50">
        <v>7.0</v>
      </c>
      <c r="N68" s="50" t="s">
        <v>423</v>
      </c>
      <c r="O68" s="50">
        <v>7.0</v>
      </c>
      <c r="P68" s="50" t="s">
        <v>53</v>
      </c>
      <c r="Q68" s="50" t="s">
        <v>57</v>
      </c>
      <c r="R68" s="50" t="s">
        <v>53</v>
      </c>
      <c r="S68" s="50"/>
      <c r="T68" s="50"/>
    </row>
    <row r="69" ht="24.0" customHeight="1">
      <c r="A69" s="46" t="s">
        <v>174</v>
      </c>
      <c r="B69" s="47" t="s">
        <v>25</v>
      </c>
      <c r="C69" s="47" t="s">
        <v>61</v>
      </c>
      <c r="D69" s="47" t="s">
        <v>60</v>
      </c>
      <c r="E69" s="47">
        <v>4.0</v>
      </c>
      <c r="F69" s="48" t="s">
        <v>419</v>
      </c>
      <c r="G69" s="48">
        <v>5.0</v>
      </c>
      <c r="H69" s="48" t="s">
        <v>420</v>
      </c>
      <c r="I69" s="48" t="s">
        <v>421</v>
      </c>
      <c r="J69" s="48" t="s">
        <v>422</v>
      </c>
      <c r="K69" s="48">
        <v>10.0</v>
      </c>
      <c r="L69" s="48" t="s">
        <v>423</v>
      </c>
      <c r="M69" s="48">
        <v>7.0</v>
      </c>
      <c r="N69" s="48" t="s">
        <v>423</v>
      </c>
      <c r="O69" s="48">
        <v>7.0</v>
      </c>
      <c r="P69" s="48" t="s">
        <v>215</v>
      </c>
      <c r="Q69" s="48">
        <v>1.0</v>
      </c>
      <c r="R69" s="48" t="s">
        <v>53</v>
      </c>
      <c r="S69" s="48" t="s">
        <v>57</v>
      </c>
      <c r="T69" s="48" t="s">
        <v>53</v>
      </c>
    </row>
    <row r="70" ht="24.0" customHeight="1">
      <c r="A70" s="46" t="s">
        <v>177</v>
      </c>
      <c r="B70" s="49" t="s">
        <v>25</v>
      </c>
      <c r="C70" s="49" t="s">
        <v>61</v>
      </c>
      <c r="D70" s="49" t="s">
        <v>60</v>
      </c>
      <c r="E70" s="49">
        <v>4.0</v>
      </c>
      <c r="F70" s="50" t="s">
        <v>419</v>
      </c>
      <c r="G70" s="50">
        <v>5.0</v>
      </c>
      <c r="H70" s="50" t="s">
        <v>420</v>
      </c>
      <c r="I70" s="50" t="s">
        <v>421</v>
      </c>
      <c r="J70" s="50" t="s">
        <v>422</v>
      </c>
      <c r="K70" s="50">
        <v>10.0</v>
      </c>
      <c r="L70" s="50" t="s">
        <v>423</v>
      </c>
      <c r="M70" s="50">
        <v>7.0</v>
      </c>
      <c r="N70" s="50" t="s">
        <v>423</v>
      </c>
      <c r="O70" s="50">
        <v>7.0</v>
      </c>
      <c r="P70" s="50" t="s">
        <v>417</v>
      </c>
      <c r="Q70" s="50">
        <v>1.0</v>
      </c>
      <c r="R70" s="50" t="s">
        <v>53</v>
      </c>
      <c r="S70" s="50" t="s">
        <v>57</v>
      </c>
      <c r="T70" s="50" t="s">
        <v>53</v>
      </c>
    </row>
    <row r="71" ht="24.0" customHeight="1">
      <c r="A71" s="46" t="s">
        <v>179</v>
      </c>
      <c r="B71" s="47" t="s">
        <v>25</v>
      </c>
      <c r="C71" s="47" t="s">
        <v>61</v>
      </c>
      <c r="D71" s="47" t="s">
        <v>60</v>
      </c>
      <c r="E71" s="47">
        <v>4.0</v>
      </c>
      <c r="F71" s="48" t="s">
        <v>419</v>
      </c>
      <c r="G71" s="48">
        <v>5.0</v>
      </c>
      <c r="H71" s="48" t="s">
        <v>420</v>
      </c>
      <c r="I71" s="48" t="s">
        <v>421</v>
      </c>
      <c r="J71" s="48" t="s">
        <v>422</v>
      </c>
      <c r="K71" s="48">
        <v>10.0</v>
      </c>
      <c r="L71" s="48" t="s">
        <v>423</v>
      </c>
      <c r="M71" s="48">
        <v>7.0</v>
      </c>
      <c r="N71" s="48" t="s">
        <v>423</v>
      </c>
      <c r="O71" s="48">
        <v>7.0</v>
      </c>
      <c r="P71" s="48" t="s">
        <v>52</v>
      </c>
      <c r="Q71" s="48">
        <v>1.0</v>
      </c>
      <c r="R71" s="48" t="s">
        <v>53</v>
      </c>
      <c r="S71" s="48" t="s">
        <v>57</v>
      </c>
      <c r="T71" s="48" t="s">
        <v>53</v>
      </c>
    </row>
    <row r="72" ht="24.0" customHeight="1">
      <c r="A72" s="46" t="s">
        <v>181</v>
      </c>
      <c r="B72" s="49" t="s">
        <v>25</v>
      </c>
      <c r="C72" s="49" t="s">
        <v>61</v>
      </c>
      <c r="D72" s="49" t="s">
        <v>60</v>
      </c>
      <c r="E72" s="49">
        <v>4.0</v>
      </c>
      <c r="F72" s="50" t="s">
        <v>419</v>
      </c>
      <c r="G72" s="50">
        <v>5.0</v>
      </c>
      <c r="H72" s="50" t="s">
        <v>420</v>
      </c>
      <c r="I72" s="50" t="s">
        <v>421</v>
      </c>
      <c r="J72" s="50" t="s">
        <v>422</v>
      </c>
      <c r="K72" s="50">
        <v>10.0</v>
      </c>
      <c r="L72" s="50" t="s">
        <v>423</v>
      </c>
      <c r="M72" s="50">
        <v>7.0</v>
      </c>
      <c r="N72" s="50" t="s">
        <v>423</v>
      </c>
      <c r="O72" s="50">
        <v>7.0</v>
      </c>
      <c r="P72" s="50" t="s">
        <v>53</v>
      </c>
      <c r="Q72" s="50" t="s">
        <v>57</v>
      </c>
      <c r="R72" s="50" t="s">
        <v>53</v>
      </c>
      <c r="S72" s="50"/>
      <c r="T72" s="50"/>
    </row>
    <row r="73" ht="24.0" customHeight="1">
      <c r="A73" s="46" t="s">
        <v>184</v>
      </c>
      <c r="B73" s="47" t="s">
        <v>25</v>
      </c>
      <c r="C73" s="47" t="s">
        <v>61</v>
      </c>
      <c r="D73" s="47" t="s">
        <v>60</v>
      </c>
      <c r="E73" s="47">
        <v>4.0</v>
      </c>
      <c r="F73" s="48" t="s">
        <v>419</v>
      </c>
      <c r="G73" s="48">
        <v>5.0</v>
      </c>
      <c r="H73" s="48" t="s">
        <v>420</v>
      </c>
      <c r="I73" s="48" t="s">
        <v>421</v>
      </c>
      <c r="J73" s="48" t="s">
        <v>422</v>
      </c>
      <c r="K73" s="48">
        <v>10.0</v>
      </c>
      <c r="L73" s="48" t="s">
        <v>423</v>
      </c>
      <c r="M73" s="48">
        <v>7.0</v>
      </c>
      <c r="N73" s="48" t="s">
        <v>423</v>
      </c>
      <c r="O73" s="48">
        <v>7.0</v>
      </c>
      <c r="P73" s="48" t="s">
        <v>215</v>
      </c>
      <c r="Q73" s="48">
        <v>1.0</v>
      </c>
      <c r="R73" s="48" t="s">
        <v>53</v>
      </c>
      <c r="S73" s="48" t="s">
        <v>57</v>
      </c>
      <c r="T73" s="48" t="s">
        <v>53</v>
      </c>
    </row>
    <row r="74" ht="24.0" customHeight="1">
      <c r="A74" s="46" t="s">
        <v>187</v>
      </c>
      <c r="B74" s="49" t="s">
        <v>25</v>
      </c>
      <c r="C74" s="49" t="s">
        <v>61</v>
      </c>
      <c r="D74" s="49" t="s">
        <v>60</v>
      </c>
      <c r="E74" s="49">
        <v>4.0</v>
      </c>
      <c r="F74" s="50" t="s">
        <v>419</v>
      </c>
      <c r="G74" s="50">
        <v>5.0</v>
      </c>
      <c r="H74" s="50" t="s">
        <v>420</v>
      </c>
      <c r="I74" s="50" t="s">
        <v>421</v>
      </c>
      <c r="J74" s="50" t="s">
        <v>422</v>
      </c>
      <c r="K74" s="50">
        <v>10.0</v>
      </c>
      <c r="L74" s="50" t="s">
        <v>423</v>
      </c>
      <c r="M74" s="50">
        <v>7.0</v>
      </c>
      <c r="N74" s="50" t="s">
        <v>423</v>
      </c>
      <c r="O74" s="50">
        <v>7.0</v>
      </c>
      <c r="P74" s="50" t="s">
        <v>417</v>
      </c>
      <c r="Q74" s="50">
        <v>1.0</v>
      </c>
      <c r="R74" s="50" t="s">
        <v>53</v>
      </c>
      <c r="S74" s="50" t="s">
        <v>57</v>
      </c>
      <c r="T74" s="50" t="s">
        <v>53</v>
      </c>
    </row>
    <row r="75" ht="24.0" customHeight="1">
      <c r="A75" s="46" t="s">
        <v>191</v>
      </c>
      <c r="B75" s="47" t="s">
        <v>25</v>
      </c>
      <c r="C75" s="47" t="s">
        <v>61</v>
      </c>
      <c r="D75" s="47" t="s">
        <v>60</v>
      </c>
      <c r="E75" s="47">
        <v>4.0</v>
      </c>
      <c r="F75" s="48" t="s">
        <v>419</v>
      </c>
      <c r="G75" s="48">
        <v>5.0</v>
      </c>
      <c r="H75" s="48" t="s">
        <v>420</v>
      </c>
      <c r="I75" s="48" t="s">
        <v>421</v>
      </c>
      <c r="J75" s="48" t="s">
        <v>422</v>
      </c>
      <c r="K75" s="48">
        <v>10.0</v>
      </c>
      <c r="L75" s="48" t="s">
        <v>423</v>
      </c>
      <c r="M75" s="48">
        <v>7.0</v>
      </c>
      <c r="N75" s="48" t="s">
        <v>423</v>
      </c>
      <c r="O75" s="48">
        <v>7.0</v>
      </c>
      <c r="P75" s="48" t="s">
        <v>52</v>
      </c>
      <c r="Q75" s="48">
        <v>1.0</v>
      </c>
      <c r="R75" s="48" t="s">
        <v>53</v>
      </c>
      <c r="S75" s="48" t="s">
        <v>57</v>
      </c>
      <c r="T75" s="48" t="s">
        <v>53</v>
      </c>
    </row>
    <row r="76" ht="24.0" customHeight="1">
      <c r="A76" s="46" t="s">
        <v>193</v>
      </c>
      <c r="B76" s="49" t="s">
        <v>25</v>
      </c>
      <c r="C76" s="49" t="s">
        <v>61</v>
      </c>
      <c r="D76" s="49" t="s">
        <v>60</v>
      </c>
      <c r="E76" s="49">
        <v>4.0</v>
      </c>
      <c r="F76" s="50" t="s">
        <v>419</v>
      </c>
      <c r="G76" s="50">
        <v>5.0</v>
      </c>
      <c r="H76" s="50" t="s">
        <v>420</v>
      </c>
      <c r="I76" s="50" t="s">
        <v>421</v>
      </c>
      <c r="J76" s="50" t="s">
        <v>422</v>
      </c>
      <c r="K76" s="50">
        <v>10.0</v>
      </c>
      <c r="L76" s="50" t="s">
        <v>423</v>
      </c>
      <c r="M76" s="50">
        <v>7.0</v>
      </c>
      <c r="N76" s="50" t="s">
        <v>423</v>
      </c>
      <c r="O76" s="50">
        <v>7.0</v>
      </c>
      <c r="P76" s="50" t="s">
        <v>53</v>
      </c>
      <c r="Q76" s="50" t="s">
        <v>57</v>
      </c>
      <c r="R76" s="50" t="s">
        <v>53</v>
      </c>
      <c r="S76" s="50"/>
      <c r="T76" s="50"/>
    </row>
    <row r="77" ht="24.0" customHeight="1">
      <c r="A77" s="46" t="s">
        <v>195</v>
      </c>
      <c r="B77" s="47" t="s">
        <v>25</v>
      </c>
      <c r="C77" s="47" t="s">
        <v>61</v>
      </c>
      <c r="D77" s="47" t="s">
        <v>60</v>
      </c>
      <c r="E77" s="47">
        <v>4.0</v>
      </c>
      <c r="F77" s="48" t="s">
        <v>419</v>
      </c>
      <c r="G77" s="48">
        <v>5.0</v>
      </c>
      <c r="H77" s="48" t="s">
        <v>420</v>
      </c>
      <c r="I77" s="48" t="s">
        <v>421</v>
      </c>
      <c r="J77" s="48" t="s">
        <v>422</v>
      </c>
      <c r="K77" s="48">
        <v>10.0</v>
      </c>
      <c r="L77" s="48" t="s">
        <v>423</v>
      </c>
      <c r="M77" s="48">
        <v>7.0</v>
      </c>
      <c r="N77" s="48" t="s">
        <v>423</v>
      </c>
      <c r="O77" s="48">
        <v>7.0</v>
      </c>
      <c r="P77" s="48" t="s">
        <v>215</v>
      </c>
      <c r="Q77" s="48">
        <v>1.0</v>
      </c>
      <c r="R77" s="48" t="s">
        <v>53</v>
      </c>
      <c r="S77" s="48" t="s">
        <v>57</v>
      </c>
      <c r="T77" s="48" t="s">
        <v>53</v>
      </c>
    </row>
    <row r="78" ht="24.0" customHeight="1">
      <c r="A78" s="46" t="s">
        <v>197</v>
      </c>
      <c r="B78" s="49" t="s">
        <v>25</v>
      </c>
      <c r="C78" s="49" t="s">
        <v>61</v>
      </c>
      <c r="D78" s="49" t="s">
        <v>60</v>
      </c>
      <c r="E78" s="49">
        <v>4.0</v>
      </c>
      <c r="F78" s="50" t="s">
        <v>419</v>
      </c>
      <c r="G78" s="50">
        <v>5.0</v>
      </c>
      <c r="H78" s="50" t="s">
        <v>420</v>
      </c>
      <c r="I78" s="50" t="s">
        <v>421</v>
      </c>
      <c r="J78" s="50" t="s">
        <v>422</v>
      </c>
      <c r="K78" s="50">
        <v>10.0</v>
      </c>
      <c r="L78" s="50" t="s">
        <v>423</v>
      </c>
      <c r="M78" s="50">
        <v>7.0</v>
      </c>
      <c r="N78" s="50" t="s">
        <v>423</v>
      </c>
      <c r="O78" s="50">
        <v>7.0</v>
      </c>
      <c r="P78" s="50" t="s">
        <v>417</v>
      </c>
      <c r="Q78" s="50">
        <v>1.0</v>
      </c>
      <c r="R78" s="50" t="s">
        <v>53</v>
      </c>
      <c r="S78" s="50" t="s">
        <v>57</v>
      </c>
      <c r="T78" s="50" t="s">
        <v>53</v>
      </c>
    </row>
    <row r="79" ht="24.0" customHeight="1">
      <c r="A79" s="46" t="s">
        <v>200</v>
      </c>
      <c r="B79" s="47" t="s">
        <v>25</v>
      </c>
      <c r="C79" s="47" t="s">
        <v>61</v>
      </c>
      <c r="D79" s="47" t="s">
        <v>60</v>
      </c>
      <c r="E79" s="47">
        <v>4.0</v>
      </c>
      <c r="F79" s="48" t="s">
        <v>419</v>
      </c>
      <c r="G79" s="48">
        <v>5.0</v>
      </c>
      <c r="H79" s="48" t="s">
        <v>420</v>
      </c>
      <c r="I79" s="48" t="s">
        <v>421</v>
      </c>
      <c r="J79" s="48" t="s">
        <v>422</v>
      </c>
      <c r="K79" s="48">
        <v>10.0</v>
      </c>
      <c r="L79" s="48" t="s">
        <v>423</v>
      </c>
      <c r="M79" s="48">
        <v>7.0</v>
      </c>
      <c r="N79" s="48" t="s">
        <v>423</v>
      </c>
      <c r="O79" s="48">
        <v>7.0</v>
      </c>
      <c r="P79" s="48" t="s">
        <v>52</v>
      </c>
      <c r="Q79" s="48">
        <v>1.0</v>
      </c>
      <c r="R79" s="48" t="s">
        <v>53</v>
      </c>
      <c r="S79" s="48" t="s">
        <v>57</v>
      </c>
      <c r="T79" s="48" t="s">
        <v>53</v>
      </c>
    </row>
    <row r="80" ht="24.0" customHeight="1">
      <c r="A80" s="46" t="s">
        <v>297</v>
      </c>
      <c r="B80" s="49" t="s">
        <v>25</v>
      </c>
      <c r="C80" s="49" t="s">
        <v>61</v>
      </c>
      <c r="D80" s="49" t="s">
        <v>60</v>
      </c>
      <c r="E80" s="49">
        <v>4.0</v>
      </c>
      <c r="F80" s="50" t="s">
        <v>419</v>
      </c>
      <c r="G80" s="50">
        <v>5.0</v>
      </c>
      <c r="H80" s="50" t="s">
        <v>420</v>
      </c>
      <c r="I80" s="50" t="s">
        <v>421</v>
      </c>
      <c r="J80" s="50" t="s">
        <v>422</v>
      </c>
      <c r="K80" s="50">
        <v>10.0</v>
      </c>
      <c r="L80" s="50" t="s">
        <v>423</v>
      </c>
      <c r="M80" s="50">
        <v>7.0</v>
      </c>
      <c r="N80" s="50" t="s">
        <v>423</v>
      </c>
      <c r="O80" s="50">
        <v>7.0</v>
      </c>
      <c r="P80" s="50" t="s">
        <v>53</v>
      </c>
      <c r="Q80" s="50" t="s">
        <v>57</v>
      </c>
      <c r="R80" s="50" t="s">
        <v>53</v>
      </c>
      <c r="S80" s="50"/>
      <c r="T80" s="50"/>
    </row>
    <row r="81" ht="24.0" customHeight="1">
      <c r="A81" s="46" t="s">
        <v>299</v>
      </c>
      <c r="B81" s="47" t="s">
        <v>25</v>
      </c>
      <c r="C81" s="47" t="s">
        <v>61</v>
      </c>
      <c r="D81" s="47" t="s">
        <v>60</v>
      </c>
      <c r="E81" s="47">
        <v>4.0</v>
      </c>
      <c r="F81" s="48" t="s">
        <v>419</v>
      </c>
      <c r="G81" s="48">
        <v>5.0</v>
      </c>
      <c r="H81" s="48" t="s">
        <v>420</v>
      </c>
      <c r="I81" s="48" t="s">
        <v>421</v>
      </c>
      <c r="J81" s="48" t="s">
        <v>422</v>
      </c>
      <c r="K81" s="48">
        <v>10.0</v>
      </c>
      <c r="L81" s="48" t="s">
        <v>423</v>
      </c>
      <c r="M81" s="48">
        <v>7.0</v>
      </c>
      <c r="N81" s="48" t="s">
        <v>423</v>
      </c>
      <c r="O81" s="48">
        <v>7.0</v>
      </c>
      <c r="P81" s="48" t="s">
        <v>215</v>
      </c>
      <c r="Q81" s="48">
        <v>1.0</v>
      </c>
      <c r="R81" s="48" t="s">
        <v>53</v>
      </c>
      <c r="S81" s="48" t="s">
        <v>57</v>
      </c>
      <c r="T81" s="48" t="s">
        <v>53</v>
      </c>
    </row>
    <row r="82" ht="24.0" customHeight="1">
      <c r="A82" s="46" t="s">
        <v>301</v>
      </c>
      <c r="B82" s="49" t="s">
        <v>25</v>
      </c>
      <c r="C82" s="49" t="s">
        <v>61</v>
      </c>
      <c r="D82" s="49" t="s">
        <v>60</v>
      </c>
      <c r="E82" s="49">
        <v>4.0</v>
      </c>
      <c r="F82" s="50" t="s">
        <v>419</v>
      </c>
      <c r="G82" s="50">
        <v>5.0</v>
      </c>
      <c r="H82" s="50" t="s">
        <v>420</v>
      </c>
      <c r="I82" s="50" t="s">
        <v>421</v>
      </c>
      <c r="J82" s="50" t="s">
        <v>422</v>
      </c>
      <c r="K82" s="50">
        <v>10.0</v>
      </c>
      <c r="L82" s="50" t="s">
        <v>423</v>
      </c>
      <c r="M82" s="50">
        <v>7.0</v>
      </c>
      <c r="N82" s="50" t="s">
        <v>423</v>
      </c>
      <c r="O82" s="50">
        <v>7.0</v>
      </c>
      <c r="P82" s="50" t="s">
        <v>417</v>
      </c>
      <c r="Q82" s="50">
        <v>1.0</v>
      </c>
      <c r="R82" s="50" t="s">
        <v>53</v>
      </c>
      <c r="S82" s="50" t="s">
        <v>57</v>
      </c>
      <c r="T82" s="50" t="s">
        <v>53</v>
      </c>
    </row>
    <row r="83" ht="24.0" customHeight="1">
      <c r="A83" s="46" t="s">
        <v>303</v>
      </c>
      <c r="B83" s="47" t="s">
        <v>25</v>
      </c>
      <c r="C83" s="47" t="s">
        <v>61</v>
      </c>
      <c r="D83" s="47" t="s">
        <v>60</v>
      </c>
      <c r="E83" s="47">
        <v>4.0</v>
      </c>
      <c r="F83" s="48" t="s">
        <v>419</v>
      </c>
      <c r="G83" s="48">
        <v>5.0</v>
      </c>
      <c r="H83" s="48" t="s">
        <v>420</v>
      </c>
      <c r="I83" s="48" t="s">
        <v>421</v>
      </c>
      <c r="J83" s="48" t="s">
        <v>422</v>
      </c>
      <c r="K83" s="48">
        <v>10.0</v>
      </c>
      <c r="L83" s="48" t="s">
        <v>423</v>
      </c>
      <c r="M83" s="48">
        <v>7.0</v>
      </c>
      <c r="N83" s="48" t="s">
        <v>423</v>
      </c>
      <c r="O83" s="48">
        <v>7.0</v>
      </c>
      <c r="P83" s="48" t="s">
        <v>52</v>
      </c>
      <c r="Q83" s="48">
        <v>1.0</v>
      </c>
      <c r="R83" s="48" t="s">
        <v>53</v>
      </c>
      <c r="S83" s="48" t="s">
        <v>57</v>
      </c>
      <c r="T83" s="48" t="s">
        <v>53</v>
      </c>
    </row>
    <row r="84" ht="24.0" customHeight="1">
      <c r="A84" s="46" t="s">
        <v>305</v>
      </c>
      <c r="B84" s="49" t="s">
        <v>25</v>
      </c>
      <c r="C84" s="49" t="s">
        <v>61</v>
      </c>
      <c r="D84" s="49" t="s">
        <v>60</v>
      </c>
      <c r="E84" s="49">
        <v>4.0</v>
      </c>
      <c r="F84" s="50" t="s">
        <v>419</v>
      </c>
      <c r="G84" s="50">
        <v>5.0</v>
      </c>
      <c r="H84" s="50" t="s">
        <v>420</v>
      </c>
      <c r="I84" s="50" t="s">
        <v>421</v>
      </c>
      <c r="J84" s="50" t="s">
        <v>422</v>
      </c>
      <c r="K84" s="50">
        <v>10.0</v>
      </c>
      <c r="L84" s="50" t="s">
        <v>423</v>
      </c>
      <c r="M84" s="50">
        <v>7.0</v>
      </c>
      <c r="N84" s="50" t="s">
        <v>423</v>
      </c>
      <c r="O84" s="50">
        <v>7.0</v>
      </c>
      <c r="P84" s="50" t="s">
        <v>53</v>
      </c>
      <c r="Q84" s="50" t="s">
        <v>57</v>
      </c>
      <c r="R84" s="50" t="s">
        <v>53</v>
      </c>
      <c r="S84" s="50"/>
      <c r="T84" s="50"/>
    </row>
    <row r="85" ht="24.0" customHeight="1">
      <c r="A85" s="46" t="s">
        <v>307</v>
      </c>
      <c r="B85" s="47" t="s">
        <v>25</v>
      </c>
      <c r="C85" s="47" t="s">
        <v>61</v>
      </c>
      <c r="D85" s="47" t="s">
        <v>60</v>
      </c>
      <c r="E85" s="47">
        <v>4.0</v>
      </c>
      <c r="F85" s="48" t="s">
        <v>419</v>
      </c>
      <c r="G85" s="48">
        <v>5.0</v>
      </c>
      <c r="H85" s="48" t="s">
        <v>420</v>
      </c>
      <c r="I85" s="48" t="s">
        <v>421</v>
      </c>
      <c r="J85" s="48" t="s">
        <v>422</v>
      </c>
      <c r="K85" s="48">
        <v>10.0</v>
      </c>
      <c r="L85" s="48" t="s">
        <v>423</v>
      </c>
      <c r="M85" s="48">
        <v>7.0</v>
      </c>
      <c r="N85" s="48" t="s">
        <v>423</v>
      </c>
      <c r="O85" s="48">
        <v>7.0</v>
      </c>
      <c r="P85" s="48" t="s">
        <v>215</v>
      </c>
      <c r="Q85" s="48">
        <v>1.0</v>
      </c>
      <c r="R85" s="48" t="s">
        <v>53</v>
      </c>
      <c r="S85" s="48" t="s">
        <v>57</v>
      </c>
      <c r="T85" s="48" t="s">
        <v>53</v>
      </c>
    </row>
    <row r="86" ht="24.0" customHeight="1">
      <c r="A86" s="46" t="s">
        <v>312</v>
      </c>
      <c r="B86" s="49" t="s">
        <v>25</v>
      </c>
      <c r="C86" s="49" t="s">
        <v>61</v>
      </c>
      <c r="D86" s="49" t="s">
        <v>60</v>
      </c>
      <c r="E86" s="49">
        <v>4.0</v>
      </c>
      <c r="F86" s="50" t="s">
        <v>419</v>
      </c>
      <c r="G86" s="50">
        <v>5.0</v>
      </c>
      <c r="H86" s="50" t="s">
        <v>420</v>
      </c>
      <c r="I86" s="50" t="s">
        <v>421</v>
      </c>
      <c r="J86" s="50" t="s">
        <v>422</v>
      </c>
      <c r="K86" s="50">
        <v>10.0</v>
      </c>
      <c r="L86" s="50" t="s">
        <v>423</v>
      </c>
      <c r="M86" s="50">
        <v>7.0</v>
      </c>
      <c r="N86" s="50" t="s">
        <v>423</v>
      </c>
      <c r="O86" s="50">
        <v>7.0</v>
      </c>
      <c r="P86" s="50" t="s">
        <v>417</v>
      </c>
      <c r="Q86" s="50">
        <v>1.0</v>
      </c>
      <c r="R86" s="50" t="s">
        <v>53</v>
      </c>
      <c r="S86" s="50" t="s">
        <v>57</v>
      </c>
      <c r="T86" s="50" t="s">
        <v>53</v>
      </c>
    </row>
    <row r="87" ht="24.0" customHeight="1">
      <c r="A87" s="46" t="s">
        <v>205</v>
      </c>
      <c r="B87" s="47" t="s">
        <v>25</v>
      </c>
      <c r="C87" s="47" t="s">
        <v>61</v>
      </c>
      <c r="D87" s="47" t="s">
        <v>60</v>
      </c>
      <c r="E87" s="47">
        <v>4.0</v>
      </c>
      <c r="F87" s="48" t="s">
        <v>419</v>
      </c>
      <c r="G87" s="48">
        <v>5.0</v>
      </c>
      <c r="H87" s="48" t="s">
        <v>420</v>
      </c>
      <c r="I87" s="48" t="s">
        <v>421</v>
      </c>
      <c r="J87" s="48" t="s">
        <v>422</v>
      </c>
      <c r="K87" s="48">
        <v>10.0</v>
      </c>
      <c r="L87" s="48" t="s">
        <v>423</v>
      </c>
      <c r="M87" s="48">
        <v>7.0</v>
      </c>
      <c r="N87" s="48" t="s">
        <v>423</v>
      </c>
      <c r="O87" s="48">
        <v>7.0</v>
      </c>
      <c r="P87" s="48" t="s">
        <v>52</v>
      </c>
      <c r="Q87" s="48">
        <v>1.0</v>
      </c>
      <c r="R87" s="48" t="s">
        <v>53</v>
      </c>
      <c r="S87" s="48" t="s">
        <v>57</v>
      </c>
      <c r="T87" s="48" t="s">
        <v>53</v>
      </c>
    </row>
    <row r="88" ht="24.0" customHeight="1">
      <c r="A88" s="46" t="s">
        <v>315</v>
      </c>
      <c r="B88" s="49" t="s">
        <v>25</v>
      </c>
      <c r="C88" s="49" t="s">
        <v>61</v>
      </c>
      <c r="D88" s="49" t="s">
        <v>60</v>
      </c>
      <c r="E88" s="49">
        <v>4.0</v>
      </c>
      <c r="F88" s="50" t="s">
        <v>419</v>
      </c>
      <c r="G88" s="50">
        <v>5.0</v>
      </c>
      <c r="H88" s="50" t="s">
        <v>420</v>
      </c>
      <c r="I88" s="50" t="s">
        <v>421</v>
      </c>
      <c r="J88" s="50" t="s">
        <v>422</v>
      </c>
      <c r="K88" s="50">
        <v>10.0</v>
      </c>
      <c r="L88" s="50" t="s">
        <v>423</v>
      </c>
      <c r="M88" s="50">
        <v>7.0</v>
      </c>
      <c r="N88" s="50" t="s">
        <v>423</v>
      </c>
      <c r="O88" s="50">
        <v>7.0</v>
      </c>
      <c r="P88" s="50" t="s">
        <v>53</v>
      </c>
      <c r="Q88" s="50" t="s">
        <v>57</v>
      </c>
      <c r="R88" s="50" t="s">
        <v>53</v>
      </c>
      <c r="S88" s="50"/>
      <c r="T88" s="50"/>
    </row>
    <row r="89" ht="24.0" customHeight="1">
      <c r="A89" s="46" t="s">
        <v>317</v>
      </c>
      <c r="B89" s="47" t="s">
        <v>25</v>
      </c>
      <c r="C89" s="47" t="s">
        <v>61</v>
      </c>
      <c r="D89" s="47" t="s">
        <v>60</v>
      </c>
      <c r="E89" s="47">
        <v>4.0</v>
      </c>
      <c r="F89" s="48" t="s">
        <v>419</v>
      </c>
      <c r="G89" s="48">
        <v>5.0</v>
      </c>
      <c r="H89" s="48" t="s">
        <v>420</v>
      </c>
      <c r="I89" s="48" t="s">
        <v>421</v>
      </c>
      <c r="J89" s="48" t="s">
        <v>422</v>
      </c>
      <c r="K89" s="48">
        <v>10.0</v>
      </c>
      <c r="L89" s="48" t="s">
        <v>423</v>
      </c>
      <c r="M89" s="48">
        <v>7.0</v>
      </c>
      <c r="N89" s="48" t="s">
        <v>423</v>
      </c>
      <c r="O89" s="48">
        <v>7.0</v>
      </c>
      <c r="P89" s="48" t="s">
        <v>215</v>
      </c>
      <c r="Q89" s="48">
        <v>1.0</v>
      </c>
      <c r="R89" s="48" t="s">
        <v>53</v>
      </c>
      <c r="S89" s="48" t="s">
        <v>57</v>
      </c>
      <c r="T89" s="48" t="s">
        <v>53</v>
      </c>
    </row>
    <row r="90" ht="24.0" customHeight="1">
      <c r="A90" s="46" t="s">
        <v>319</v>
      </c>
      <c r="B90" s="49" t="s">
        <v>25</v>
      </c>
      <c r="C90" s="49" t="s">
        <v>61</v>
      </c>
      <c r="D90" s="49" t="s">
        <v>60</v>
      </c>
      <c r="E90" s="49">
        <v>4.0</v>
      </c>
      <c r="F90" s="50" t="s">
        <v>419</v>
      </c>
      <c r="G90" s="50">
        <v>5.0</v>
      </c>
      <c r="H90" s="50" t="s">
        <v>420</v>
      </c>
      <c r="I90" s="50" t="s">
        <v>421</v>
      </c>
      <c r="J90" s="50" t="s">
        <v>422</v>
      </c>
      <c r="K90" s="50">
        <v>10.0</v>
      </c>
      <c r="L90" s="50" t="s">
        <v>423</v>
      </c>
      <c r="M90" s="50">
        <v>7.0</v>
      </c>
      <c r="N90" s="50" t="s">
        <v>423</v>
      </c>
      <c r="O90" s="50">
        <v>7.0</v>
      </c>
      <c r="P90" s="50" t="s">
        <v>417</v>
      </c>
      <c r="Q90" s="50">
        <v>1.0</v>
      </c>
      <c r="R90" s="50" t="s">
        <v>53</v>
      </c>
      <c r="S90" s="50" t="s">
        <v>57</v>
      </c>
      <c r="T90" s="50" t="s">
        <v>53</v>
      </c>
    </row>
    <row r="91" ht="24.0" customHeight="1">
      <c r="A91" s="46" t="s">
        <v>322</v>
      </c>
      <c r="B91" s="47" t="s">
        <v>25</v>
      </c>
      <c r="C91" s="47" t="s">
        <v>61</v>
      </c>
      <c r="D91" s="47" t="s">
        <v>60</v>
      </c>
      <c r="E91" s="47">
        <v>4.0</v>
      </c>
      <c r="F91" s="48" t="s">
        <v>419</v>
      </c>
      <c r="G91" s="48">
        <v>5.0</v>
      </c>
      <c r="H91" s="48" t="s">
        <v>420</v>
      </c>
      <c r="I91" s="48" t="s">
        <v>421</v>
      </c>
      <c r="J91" s="48" t="s">
        <v>422</v>
      </c>
      <c r="K91" s="48">
        <v>10.0</v>
      </c>
      <c r="L91" s="48" t="s">
        <v>423</v>
      </c>
      <c r="M91" s="48">
        <v>7.0</v>
      </c>
      <c r="N91" s="48" t="s">
        <v>423</v>
      </c>
      <c r="O91" s="48">
        <v>7.0</v>
      </c>
      <c r="P91" s="48" t="s">
        <v>52</v>
      </c>
      <c r="Q91" s="48">
        <v>1.0</v>
      </c>
      <c r="R91" s="48" t="s">
        <v>53</v>
      </c>
      <c r="S91" s="48" t="s">
        <v>57</v>
      </c>
      <c r="T91" s="48" t="s">
        <v>53</v>
      </c>
    </row>
    <row r="92" ht="24.0" customHeight="1">
      <c r="A92" s="46" t="s">
        <v>325</v>
      </c>
      <c r="B92" s="49" t="s">
        <v>25</v>
      </c>
      <c r="C92" s="49" t="s">
        <v>61</v>
      </c>
      <c r="D92" s="49" t="s">
        <v>60</v>
      </c>
      <c r="E92" s="49">
        <v>4.0</v>
      </c>
      <c r="F92" s="50" t="s">
        <v>419</v>
      </c>
      <c r="G92" s="50">
        <v>5.0</v>
      </c>
      <c r="H92" s="50" t="s">
        <v>420</v>
      </c>
      <c r="I92" s="50" t="s">
        <v>421</v>
      </c>
      <c r="J92" s="50" t="s">
        <v>422</v>
      </c>
      <c r="K92" s="50">
        <v>10.0</v>
      </c>
      <c r="L92" s="50" t="s">
        <v>423</v>
      </c>
      <c r="M92" s="50">
        <v>7.0</v>
      </c>
      <c r="N92" s="50" t="s">
        <v>423</v>
      </c>
      <c r="O92" s="50">
        <v>7.0</v>
      </c>
      <c r="P92" s="50" t="s">
        <v>53</v>
      </c>
      <c r="Q92" s="50" t="s">
        <v>57</v>
      </c>
      <c r="R92" s="50" t="s">
        <v>53</v>
      </c>
      <c r="S92" s="50"/>
      <c r="T92" s="50"/>
    </row>
    <row r="93" ht="24.0" customHeight="1">
      <c r="A93" s="46" t="s">
        <v>327</v>
      </c>
      <c r="B93" s="47" t="s">
        <v>25</v>
      </c>
      <c r="C93" s="47" t="s">
        <v>61</v>
      </c>
      <c r="D93" s="47" t="s">
        <v>60</v>
      </c>
      <c r="E93" s="47">
        <v>4.0</v>
      </c>
      <c r="F93" s="48" t="s">
        <v>419</v>
      </c>
      <c r="G93" s="48">
        <v>5.0</v>
      </c>
      <c r="H93" s="48" t="s">
        <v>420</v>
      </c>
      <c r="I93" s="48" t="s">
        <v>421</v>
      </c>
      <c r="J93" s="48" t="s">
        <v>422</v>
      </c>
      <c r="K93" s="48">
        <v>10.0</v>
      </c>
      <c r="L93" s="48" t="s">
        <v>423</v>
      </c>
      <c r="M93" s="48">
        <v>7.0</v>
      </c>
      <c r="N93" s="48" t="s">
        <v>423</v>
      </c>
      <c r="O93" s="48">
        <v>7.0</v>
      </c>
      <c r="P93" s="48" t="s">
        <v>215</v>
      </c>
      <c r="Q93" s="48">
        <v>1.0</v>
      </c>
      <c r="R93" s="48" t="s">
        <v>53</v>
      </c>
      <c r="S93" s="48" t="s">
        <v>57</v>
      </c>
      <c r="T93" s="48" t="s">
        <v>53</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366</v>
      </c>
      <c r="C1" s="8" t="s">
        <v>367</v>
      </c>
      <c r="D1" s="8" t="s">
        <v>20</v>
      </c>
      <c r="E1" s="8" t="s">
        <v>368</v>
      </c>
      <c r="F1" s="8" t="s">
        <v>369</v>
      </c>
    </row>
    <row r="2">
      <c r="A2" s="8" t="s">
        <v>7</v>
      </c>
      <c r="B2" s="8" t="s">
        <v>25</v>
      </c>
      <c r="C2" s="8" t="s">
        <v>53</v>
      </c>
      <c r="D2" s="10">
        <v>10000.0</v>
      </c>
      <c r="E2" s="8" t="s">
        <v>370</v>
      </c>
      <c r="F2" s="8" t="s">
        <v>371</v>
      </c>
    </row>
    <row r="3">
      <c r="A3" s="8" t="s">
        <v>16</v>
      </c>
      <c r="B3" s="8" t="s">
        <v>25</v>
      </c>
      <c r="C3" s="8" t="s">
        <v>53</v>
      </c>
      <c r="D3" s="10">
        <v>14500.0</v>
      </c>
      <c r="E3" s="8" t="s">
        <v>370</v>
      </c>
      <c r="F3" s="8" t="s">
        <v>371</v>
      </c>
    </row>
    <row r="4">
      <c r="A4" s="8" t="s">
        <v>226</v>
      </c>
      <c r="B4" s="8" t="s">
        <v>25</v>
      </c>
      <c r="C4" s="8" t="s">
        <v>53</v>
      </c>
      <c r="D4" s="10">
        <v>10000.0</v>
      </c>
      <c r="E4" s="8" t="s">
        <v>370</v>
      </c>
      <c r="F4" s="8" t="s">
        <v>371</v>
      </c>
    </row>
    <row r="5">
      <c r="A5" s="8" t="s">
        <v>23</v>
      </c>
      <c r="B5" s="8" t="s">
        <v>25</v>
      </c>
      <c r="C5" s="8" t="s">
        <v>53</v>
      </c>
      <c r="D5" s="10">
        <v>10000.0</v>
      </c>
      <c r="E5" s="8" t="s">
        <v>370</v>
      </c>
      <c r="F5" s="8" t="s">
        <v>371</v>
      </c>
    </row>
    <row r="6">
      <c r="A6" s="8" t="s">
        <v>229</v>
      </c>
      <c r="B6" s="8" t="s">
        <v>25</v>
      </c>
      <c r="C6" s="8" t="s">
        <v>53</v>
      </c>
      <c r="D6" s="10">
        <v>3500.0</v>
      </c>
      <c r="E6" s="8" t="s">
        <v>370</v>
      </c>
      <c r="F6" s="8" t="s">
        <v>371</v>
      </c>
    </row>
    <row r="7">
      <c r="A7" s="8" t="s">
        <v>28</v>
      </c>
      <c r="B7" s="8" t="s">
        <v>25</v>
      </c>
      <c r="C7" s="8" t="s">
        <v>53</v>
      </c>
      <c r="D7" s="10">
        <v>3500.0</v>
      </c>
      <c r="E7" s="8" t="s">
        <v>370</v>
      </c>
      <c r="F7" s="8" t="s">
        <v>371</v>
      </c>
    </row>
    <row r="8">
      <c r="A8" s="8" t="s">
        <v>31</v>
      </c>
      <c r="B8" s="8" t="s">
        <v>25</v>
      </c>
      <c r="C8" s="8" t="s">
        <v>53</v>
      </c>
      <c r="D8" s="10">
        <v>10500.0</v>
      </c>
      <c r="E8" s="8" t="s">
        <v>370</v>
      </c>
      <c r="F8" s="8" t="s">
        <v>371</v>
      </c>
    </row>
    <row r="9">
      <c r="A9" s="8" t="s">
        <v>34</v>
      </c>
      <c r="B9" s="8" t="s">
        <v>25</v>
      </c>
      <c r="C9" s="8" t="s">
        <v>53</v>
      </c>
      <c r="D9" s="10">
        <v>6500.0</v>
      </c>
      <c r="E9" s="8" t="s">
        <v>370</v>
      </c>
      <c r="F9" s="8" t="s">
        <v>371</v>
      </c>
    </row>
    <row r="10">
      <c r="A10" s="8" t="s">
        <v>109</v>
      </c>
      <c r="B10" s="8" t="s">
        <v>25</v>
      </c>
      <c r="C10" s="8" t="s">
        <v>53</v>
      </c>
      <c r="D10" s="10">
        <v>6500.0</v>
      </c>
      <c r="E10" s="8" t="s">
        <v>370</v>
      </c>
      <c r="F10" s="8" t="s">
        <v>371</v>
      </c>
    </row>
    <row r="11">
      <c r="A11" s="8" t="s">
        <v>233</v>
      </c>
      <c r="B11" s="8" t="s">
        <v>25</v>
      </c>
      <c r="C11" s="8" t="s">
        <v>53</v>
      </c>
      <c r="D11" s="10">
        <v>9500.0</v>
      </c>
      <c r="E11" s="8" t="s">
        <v>370</v>
      </c>
      <c r="F11" s="8" t="s">
        <v>371</v>
      </c>
    </row>
    <row r="12">
      <c r="A12" s="8" t="s">
        <v>41</v>
      </c>
      <c r="B12" s="8" t="s">
        <v>25</v>
      </c>
      <c r="C12" s="8" t="s">
        <v>53</v>
      </c>
      <c r="D12" s="10">
        <v>14000.0</v>
      </c>
      <c r="E12" s="8" t="s">
        <v>370</v>
      </c>
      <c r="F12" s="8" t="s">
        <v>371</v>
      </c>
    </row>
    <row r="13">
      <c r="A13" s="8" t="s">
        <v>235</v>
      </c>
      <c r="B13" s="8" t="s">
        <v>25</v>
      </c>
      <c r="C13" s="8" t="s">
        <v>53</v>
      </c>
      <c r="D13" s="10">
        <v>9500.0</v>
      </c>
      <c r="E13" s="8" t="s">
        <v>370</v>
      </c>
      <c r="F13" s="8" t="s">
        <v>371</v>
      </c>
    </row>
    <row r="14">
      <c r="A14" s="8" t="s">
        <v>48</v>
      </c>
      <c r="B14" s="8" t="s">
        <v>25</v>
      </c>
      <c r="C14" s="8" t="s">
        <v>53</v>
      </c>
      <c r="D14" s="10">
        <v>9500.0</v>
      </c>
      <c r="E14" s="8" t="s">
        <v>370</v>
      </c>
      <c r="F14" s="8" t="s">
        <v>371</v>
      </c>
    </row>
    <row r="15">
      <c r="A15" s="8" t="s">
        <v>237</v>
      </c>
      <c r="B15" s="8" t="s">
        <v>25</v>
      </c>
      <c r="C15" s="8" t="s">
        <v>53</v>
      </c>
      <c r="D15" s="10">
        <v>6500.0</v>
      </c>
      <c r="E15" s="8" t="s">
        <v>370</v>
      </c>
      <c r="F15" s="8" t="s">
        <v>371</v>
      </c>
    </row>
    <row r="16">
      <c r="A16" s="8" t="s">
        <v>54</v>
      </c>
      <c r="B16" s="8" t="s">
        <v>25</v>
      </c>
      <c r="C16" s="8" t="s">
        <v>53</v>
      </c>
      <c r="D16" s="10">
        <v>6500.0</v>
      </c>
      <c r="E16" s="8" t="s">
        <v>370</v>
      </c>
      <c r="F16" s="8" t="s">
        <v>371</v>
      </c>
    </row>
    <row r="17">
      <c r="A17" s="8" t="s">
        <v>58</v>
      </c>
      <c r="B17" s="8" t="s">
        <v>25</v>
      </c>
      <c r="C17" s="8" t="s">
        <v>53</v>
      </c>
      <c r="D17" s="10">
        <v>6500.0</v>
      </c>
      <c r="E17" s="8" t="s">
        <v>370</v>
      </c>
      <c r="F17" s="8" t="s">
        <v>371</v>
      </c>
    </row>
    <row r="18">
      <c r="A18" s="8" t="s">
        <v>123</v>
      </c>
      <c r="B18" s="8" t="s">
        <v>25</v>
      </c>
      <c r="C18" s="8" t="s">
        <v>53</v>
      </c>
      <c r="D18" s="10">
        <v>6500.0</v>
      </c>
      <c r="E18" s="8" t="s">
        <v>370</v>
      </c>
      <c r="F18" s="8" t="s">
        <v>371</v>
      </c>
    </row>
    <row r="19">
      <c r="A19" s="8" t="s">
        <v>62</v>
      </c>
      <c r="B19" s="8" t="s">
        <v>25</v>
      </c>
      <c r="C19" s="8" t="s">
        <v>53</v>
      </c>
      <c r="D19" s="10">
        <v>13500.0</v>
      </c>
      <c r="E19" s="8" t="s">
        <v>370</v>
      </c>
      <c r="F19" s="8" t="s">
        <v>371</v>
      </c>
    </row>
    <row r="20">
      <c r="A20" s="8" t="s">
        <v>67</v>
      </c>
      <c r="B20" s="8" t="s">
        <v>25</v>
      </c>
      <c r="C20" s="8" t="s">
        <v>53</v>
      </c>
      <c r="D20" s="10">
        <v>11500.0</v>
      </c>
      <c r="E20" s="8" t="s">
        <v>370</v>
      </c>
      <c r="F20" s="8" t="s">
        <v>371</v>
      </c>
    </row>
    <row r="21">
      <c r="A21" s="8" t="s">
        <v>70</v>
      </c>
      <c r="B21" s="8" t="s">
        <v>25</v>
      </c>
      <c r="C21" s="8" t="s">
        <v>53</v>
      </c>
      <c r="D21" s="10">
        <v>6500.0</v>
      </c>
      <c r="E21" s="8" t="s">
        <v>370</v>
      </c>
      <c r="F21" s="8" t="s">
        <v>371</v>
      </c>
    </row>
    <row r="22">
      <c r="A22" s="8" t="s">
        <v>74</v>
      </c>
      <c r="B22" s="8" t="s">
        <v>25</v>
      </c>
      <c r="C22" s="8" t="s">
        <v>53</v>
      </c>
      <c r="D22" s="10">
        <v>6500.0</v>
      </c>
      <c r="E22" s="8" t="s">
        <v>370</v>
      </c>
      <c r="F22" s="8" t="s">
        <v>371</v>
      </c>
    </row>
    <row r="23">
      <c r="A23" s="8" t="s">
        <v>76</v>
      </c>
      <c r="B23" s="8" t="s">
        <v>25</v>
      </c>
      <c r="C23" s="8" t="s">
        <v>53</v>
      </c>
      <c r="D23" s="10">
        <v>6500.0</v>
      </c>
      <c r="E23" s="8" t="s">
        <v>370</v>
      </c>
      <c r="F23" s="8" t="s">
        <v>371</v>
      </c>
    </row>
    <row r="24">
      <c r="A24" s="8" t="s">
        <v>78</v>
      </c>
      <c r="B24" s="8" t="s">
        <v>25</v>
      </c>
      <c r="C24" s="8" t="s">
        <v>53</v>
      </c>
      <c r="D24" s="10">
        <v>6500.0</v>
      </c>
      <c r="E24" s="8" t="s">
        <v>370</v>
      </c>
      <c r="F24" s="8" t="s">
        <v>371</v>
      </c>
    </row>
    <row r="25">
      <c r="A25" s="8" t="s">
        <v>81</v>
      </c>
      <c r="B25" s="8" t="s">
        <v>25</v>
      </c>
      <c r="C25" s="8" t="s">
        <v>53</v>
      </c>
      <c r="D25" s="10">
        <v>6500.0</v>
      </c>
      <c r="E25" s="8" t="s">
        <v>370</v>
      </c>
      <c r="F25" s="8" t="s">
        <v>371</v>
      </c>
    </row>
    <row r="26">
      <c r="A26" s="8" t="s">
        <v>83</v>
      </c>
      <c r="B26" s="8" t="s">
        <v>25</v>
      </c>
      <c r="C26" s="8" t="s">
        <v>53</v>
      </c>
      <c r="D26" s="10">
        <v>6500.0</v>
      </c>
      <c r="E26" s="8" t="s">
        <v>370</v>
      </c>
      <c r="F26" s="8" t="s">
        <v>371</v>
      </c>
    </row>
    <row r="27">
      <c r="A27" s="8" t="s">
        <v>85</v>
      </c>
      <c r="B27" s="8" t="s">
        <v>25</v>
      </c>
      <c r="C27" s="8" t="s">
        <v>53</v>
      </c>
      <c r="D27" s="10">
        <v>6500.0</v>
      </c>
      <c r="E27" s="8" t="s">
        <v>370</v>
      </c>
      <c r="F27" s="8" t="s">
        <v>371</v>
      </c>
    </row>
    <row r="28">
      <c r="A28" s="8" t="s">
        <v>88</v>
      </c>
      <c r="B28" s="8" t="s">
        <v>25</v>
      </c>
      <c r="C28" s="8" t="s">
        <v>53</v>
      </c>
      <c r="D28" s="10">
        <v>6500.0</v>
      </c>
      <c r="E28" s="8" t="s">
        <v>370</v>
      </c>
      <c r="F28" s="8" t="s">
        <v>371</v>
      </c>
    </row>
    <row r="29">
      <c r="A29" s="8" t="s">
        <v>90</v>
      </c>
      <c r="B29" s="8" t="s">
        <v>25</v>
      </c>
      <c r="C29" s="8" t="s">
        <v>53</v>
      </c>
      <c r="D29" s="10">
        <v>6500.0</v>
      </c>
      <c r="E29" s="8" t="s">
        <v>370</v>
      </c>
      <c r="F29" s="8" t="s">
        <v>371</v>
      </c>
    </row>
    <row r="30">
      <c r="A30" s="8" t="s">
        <v>92</v>
      </c>
      <c r="B30" s="8" t="s">
        <v>25</v>
      </c>
      <c r="C30" s="8" t="s">
        <v>53</v>
      </c>
      <c r="D30" s="10">
        <v>6500.0</v>
      </c>
      <c r="E30" s="8" t="s">
        <v>370</v>
      </c>
      <c r="F30" s="8" t="s">
        <v>371</v>
      </c>
    </row>
    <row r="31">
      <c r="A31" s="8" t="s">
        <v>96</v>
      </c>
      <c r="B31" s="8" t="s">
        <v>25</v>
      </c>
      <c r="C31" s="8" t="s">
        <v>53</v>
      </c>
      <c r="D31" s="10">
        <v>6500.0</v>
      </c>
      <c r="E31" s="8" t="s">
        <v>370</v>
      </c>
      <c r="F31" s="8" t="s">
        <v>371</v>
      </c>
    </row>
    <row r="32">
      <c r="A32" s="8" t="s">
        <v>99</v>
      </c>
      <c r="B32" s="8" t="s">
        <v>25</v>
      </c>
      <c r="C32" s="8" t="s">
        <v>53</v>
      </c>
      <c r="D32" s="10">
        <v>6500.0</v>
      </c>
      <c r="E32" s="8" t="s">
        <v>370</v>
      </c>
      <c r="F32" s="8" t="s">
        <v>371</v>
      </c>
    </row>
    <row r="33">
      <c r="A33" s="8" t="s">
        <v>102</v>
      </c>
      <c r="B33" s="8" t="s">
        <v>25</v>
      </c>
      <c r="C33" s="8" t="s">
        <v>53</v>
      </c>
      <c r="D33" s="10">
        <v>6500.0</v>
      </c>
      <c r="E33" s="8" t="s">
        <v>370</v>
      </c>
      <c r="F33" s="8" t="s">
        <v>371</v>
      </c>
    </row>
    <row r="34">
      <c r="A34" s="8" t="s">
        <v>104</v>
      </c>
      <c r="B34" s="8" t="s">
        <v>25</v>
      </c>
      <c r="C34" s="8" t="s">
        <v>53</v>
      </c>
      <c r="D34" s="10">
        <v>12500.0</v>
      </c>
      <c r="E34" s="8" t="s">
        <v>370</v>
      </c>
      <c r="F34" s="8" t="s">
        <v>371</v>
      </c>
    </row>
    <row r="35">
      <c r="A35" s="8" t="s">
        <v>106</v>
      </c>
      <c r="B35" s="8" t="s">
        <v>25</v>
      </c>
      <c r="C35" s="8" t="s">
        <v>53</v>
      </c>
      <c r="D35" s="10">
        <v>17000.0</v>
      </c>
      <c r="E35" s="8" t="s">
        <v>370</v>
      </c>
      <c r="F35" s="8" t="s">
        <v>371</v>
      </c>
    </row>
    <row r="36">
      <c r="A36" s="8" t="s">
        <v>249</v>
      </c>
      <c r="B36" s="8" t="s">
        <v>25</v>
      </c>
      <c r="C36" s="8" t="s">
        <v>53</v>
      </c>
      <c r="D36" s="10">
        <v>12500.0</v>
      </c>
      <c r="E36" s="8" t="s">
        <v>370</v>
      </c>
      <c r="F36" s="8" t="s">
        <v>371</v>
      </c>
    </row>
    <row r="37">
      <c r="A37" s="8" t="s">
        <v>111</v>
      </c>
      <c r="B37" s="8" t="s">
        <v>25</v>
      </c>
      <c r="C37" s="8" t="s">
        <v>53</v>
      </c>
      <c r="D37" s="10">
        <v>12500.0</v>
      </c>
      <c r="E37" s="8" t="s">
        <v>370</v>
      </c>
      <c r="F37" s="8" t="s">
        <v>371</v>
      </c>
    </row>
    <row r="38">
      <c r="A38" s="8" t="s">
        <v>251</v>
      </c>
      <c r="B38" s="8" t="s">
        <v>25</v>
      </c>
      <c r="C38" s="8" t="s">
        <v>53</v>
      </c>
      <c r="D38" s="10">
        <v>9500.0</v>
      </c>
      <c r="E38" s="8" t="s">
        <v>370</v>
      </c>
      <c r="F38" s="8" t="s">
        <v>371</v>
      </c>
    </row>
    <row r="39">
      <c r="A39" s="8" t="s">
        <v>117</v>
      </c>
      <c r="B39" s="8" t="s">
        <v>25</v>
      </c>
      <c r="C39" s="8" t="s">
        <v>53</v>
      </c>
      <c r="D39" s="10">
        <v>9500.0</v>
      </c>
      <c r="E39" s="8" t="s">
        <v>370</v>
      </c>
      <c r="F39" s="8" t="s">
        <v>371</v>
      </c>
    </row>
    <row r="40">
      <c r="A40" s="8" t="s">
        <v>119</v>
      </c>
      <c r="B40" s="8" t="s">
        <v>25</v>
      </c>
      <c r="C40" s="8" t="s">
        <v>53</v>
      </c>
      <c r="D40" s="10">
        <v>12440.8</v>
      </c>
      <c r="E40" s="8" t="s">
        <v>370</v>
      </c>
      <c r="F40" s="8" t="s">
        <v>371</v>
      </c>
    </row>
    <row r="41">
      <c r="A41" s="8" t="s">
        <v>121</v>
      </c>
      <c r="B41" s="8" t="s">
        <v>25</v>
      </c>
      <c r="C41" s="8" t="s">
        <v>53</v>
      </c>
      <c r="D41" s="10">
        <v>12440.8</v>
      </c>
      <c r="E41" s="8" t="s">
        <v>370</v>
      </c>
      <c r="F41" s="8" t="s">
        <v>371</v>
      </c>
    </row>
    <row r="42">
      <c r="A42" s="8" t="s">
        <v>124</v>
      </c>
      <c r="B42" s="8" t="s">
        <v>25</v>
      </c>
      <c r="C42" s="8" t="s">
        <v>53</v>
      </c>
      <c r="D42" s="10">
        <v>12440.8</v>
      </c>
      <c r="E42" s="8" t="s">
        <v>370</v>
      </c>
      <c r="F42" s="8" t="s">
        <v>371</v>
      </c>
    </row>
    <row r="43">
      <c r="A43" s="8" t="s">
        <v>126</v>
      </c>
      <c r="B43" s="8" t="s">
        <v>25</v>
      </c>
      <c r="C43" s="8" t="s">
        <v>53</v>
      </c>
      <c r="D43" s="10">
        <v>12440.8</v>
      </c>
      <c r="E43" s="8" t="s">
        <v>370</v>
      </c>
      <c r="F43" s="8" t="s">
        <v>371</v>
      </c>
    </row>
    <row r="44">
      <c r="A44" s="8" t="s">
        <v>130</v>
      </c>
      <c r="B44" s="8" t="s">
        <v>25</v>
      </c>
      <c r="C44" s="8" t="s">
        <v>53</v>
      </c>
      <c r="D44" s="10">
        <v>12440.8</v>
      </c>
      <c r="E44" s="8" t="s">
        <v>370</v>
      </c>
      <c r="F44" s="8" t="s">
        <v>371</v>
      </c>
    </row>
    <row r="45">
      <c r="A45" s="8" t="s">
        <v>132</v>
      </c>
      <c r="B45" s="8" t="s">
        <v>25</v>
      </c>
      <c r="C45" s="8" t="s">
        <v>53</v>
      </c>
      <c r="D45" s="10">
        <v>12440.8</v>
      </c>
      <c r="E45" s="8" t="s">
        <v>370</v>
      </c>
      <c r="F45" s="8" t="s">
        <v>371</v>
      </c>
    </row>
    <row r="46">
      <c r="A46" s="8" t="s">
        <v>134</v>
      </c>
      <c r="B46" s="8" t="s">
        <v>25</v>
      </c>
      <c r="C46" s="8" t="s">
        <v>53</v>
      </c>
      <c r="D46" s="10">
        <v>12440.8</v>
      </c>
      <c r="E46" s="8" t="s">
        <v>370</v>
      </c>
      <c r="F46" s="8" t="s">
        <v>371</v>
      </c>
    </row>
    <row r="47">
      <c r="A47" s="8" t="s">
        <v>136</v>
      </c>
      <c r="B47" s="8" t="s">
        <v>25</v>
      </c>
      <c r="C47" s="8" t="s">
        <v>53</v>
      </c>
      <c r="D47" s="10">
        <v>3500.0</v>
      </c>
      <c r="E47" s="8" t="s">
        <v>370</v>
      </c>
      <c r="F47" s="8" t="s">
        <v>371</v>
      </c>
    </row>
    <row r="48">
      <c r="A48" s="8" t="s">
        <v>138</v>
      </c>
      <c r="B48" s="8" t="s">
        <v>25</v>
      </c>
      <c r="C48" s="8" t="s">
        <v>53</v>
      </c>
      <c r="D48" s="10">
        <v>3500.0</v>
      </c>
      <c r="E48" s="8" t="s">
        <v>370</v>
      </c>
      <c r="F48" s="8" t="s">
        <v>371</v>
      </c>
    </row>
    <row r="49">
      <c r="A49" s="8" t="s">
        <v>140</v>
      </c>
      <c r="B49" s="8" t="s">
        <v>25</v>
      </c>
      <c r="C49" s="8" t="s">
        <v>53</v>
      </c>
      <c r="D49" s="10">
        <v>3500.0</v>
      </c>
      <c r="E49" s="8" t="s">
        <v>370</v>
      </c>
      <c r="F49" s="8" t="s">
        <v>371</v>
      </c>
    </row>
    <row r="50">
      <c r="A50" s="8" t="s">
        <v>142</v>
      </c>
      <c r="B50" s="8" t="s">
        <v>25</v>
      </c>
      <c r="C50" s="8" t="s">
        <v>53</v>
      </c>
      <c r="D50" s="10">
        <v>3500.0</v>
      </c>
      <c r="E50" s="8" t="s">
        <v>370</v>
      </c>
      <c r="F50" s="8" t="s">
        <v>371</v>
      </c>
    </row>
    <row r="51">
      <c r="A51" s="8" t="s">
        <v>144</v>
      </c>
      <c r="B51" s="8" t="s">
        <v>25</v>
      </c>
      <c r="C51" s="8" t="s">
        <v>53</v>
      </c>
      <c r="D51" s="10">
        <v>3500.0</v>
      </c>
      <c r="E51" s="8" t="s">
        <v>370</v>
      </c>
      <c r="F51" s="8" t="s">
        <v>371</v>
      </c>
    </row>
    <row r="52">
      <c r="A52" s="8" t="s">
        <v>146</v>
      </c>
      <c r="B52" s="8" t="s">
        <v>25</v>
      </c>
      <c r="C52" s="8" t="s">
        <v>53</v>
      </c>
      <c r="D52" s="10">
        <v>3500.0</v>
      </c>
      <c r="E52" s="8" t="s">
        <v>370</v>
      </c>
      <c r="F52" s="8" t="s">
        <v>371</v>
      </c>
    </row>
    <row r="53">
      <c r="A53" s="8" t="s">
        <v>148</v>
      </c>
      <c r="B53" s="8" t="s">
        <v>25</v>
      </c>
      <c r="C53" s="8" t="s">
        <v>53</v>
      </c>
      <c r="D53" s="10">
        <v>3500.0</v>
      </c>
      <c r="E53" s="8" t="s">
        <v>370</v>
      </c>
      <c r="F53" s="8" t="s">
        <v>371</v>
      </c>
    </row>
    <row r="54">
      <c r="A54" s="8" t="s">
        <v>150</v>
      </c>
      <c r="B54" s="8" t="s">
        <v>25</v>
      </c>
      <c r="C54" s="8" t="s">
        <v>53</v>
      </c>
      <c r="D54" s="10">
        <v>3500.0</v>
      </c>
      <c r="E54" s="8" t="s">
        <v>370</v>
      </c>
      <c r="F54" s="8" t="s">
        <v>371</v>
      </c>
    </row>
    <row r="55">
      <c r="A55" s="8" t="s">
        <v>153</v>
      </c>
      <c r="B55" s="8" t="s">
        <v>25</v>
      </c>
      <c r="C55" s="8" t="s">
        <v>53</v>
      </c>
      <c r="D55" s="10">
        <v>3500.0</v>
      </c>
      <c r="E55" s="8" t="s">
        <v>370</v>
      </c>
      <c r="F55" s="8" t="s">
        <v>371</v>
      </c>
    </row>
    <row r="56">
      <c r="A56" s="8" t="s">
        <v>156</v>
      </c>
      <c r="B56" s="8" t="s">
        <v>25</v>
      </c>
      <c r="C56" s="8" t="s">
        <v>53</v>
      </c>
      <c r="D56" s="10">
        <v>3500.0</v>
      </c>
      <c r="E56" s="8" t="s">
        <v>370</v>
      </c>
      <c r="F56" s="8" t="s">
        <v>371</v>
      </c>
    </row>
    <row r="57">
      <c r="A57" s="8" t="s">
        <v>158</v>
      </c>
      <c r="B57" s="8" t="s">
        <v>25</v>
      </c>
      <c r="C57" s="8" t="s">
        <v>53</v>
      </c>
      <c r="D57" s="10">
        <v>3500.0</v>
      </c>
      <c r="E57" s="8" t="s">
        <v>370</v>
      </c>
      <c r="F57" s="8" t="s">
        <v>371</v>
      </c>
    </row>
    <row r="58">
      <c r="A58" s="8" t="s">
        <v>160</v>
      </c>
      <c r="B58" s="8" t="s">
        <v>25</v>
      </c>
      <c r="C58" s="8" t="s">
        <v>53</v>
      </c>
      <c r="D58" s="10">
        <v>3500.0</v>
      </c>
      <c r="E58" s="8" t="s">
        <v>370</v>
      </c>
      <c r="F58" s="8" t="s">
        <v>371</v>
      </c>
    </row>
    <row r="59">
      <c r="A59" s="8" t="s">
        <v>162</v>
      </c>
      <c r="B59" s="8" t="s">
        <v>25</v>
      </c>
      <c r="C59" s="8" t="s">
        <v>53</v>
      </c>
      <c r="D59" s="10">
        <v>3500.0</v>
      </c>
      <c r="E59" s="8" t="s">
        <v>370</v>
      </c>
      <c r="F59" s="8" t="s">
        <v>371</v>
      </c>
    </row>
    <row r="60">
      <c r="A60" s="8" t="s">
        <v>270</v>
      </c>
      <c r="B60" s="8" t="s">
        <v>25</v>
      </c>
      <c r="C60" s="8" t="s">
        <v>53</v>
      </c>
      <c r="D60" s="10">
        <v>13000.0</v>
      </c>
      <c r="E60" s="8" t="s">
        <v>370</v>
      </c>
      <c r="F60" s="8" t="s">
        <v>371</v>
      </c>
    </row>
    <row r="61">
      <c r="A61" s="8" t="s">
        <v>272</v>
      </c>
      <c r="B61" s="8" t="s">
        <v>25</v>
      </c>
      <c r="C61" s="8" t="s">
        <v>53</v>
      </c>
      <c r="D61" s="10">
        <v>17500.0</v>
      </c>
      <c r="E61" s="8" t="s">
        <v>370</v>
      </c>
      <c r="F61" s="8" t="s">
        <v>371</v>
      </c>
    </row>
    <row r="62">
      <c r="A62" s="8" t="s">
        <v>274</v>
      </c>
      <c r="B62" s="8" t="s">
        <v>25</v>
      </c>
      <c r="C62" s="8" t="s">
        <v>53</v>
      </c>
      <c r="D62" s="10">
        <v>13000.0</v>
      </c>
      <c r="E62" s="8" t="s">
        <v>370</v>
      </c>
      <c r="F62" s="8" t="s">
        <v>371</v>
      </c>
    </row>
    <row r="63">
      <c r="A63" s="8" t="s">
        <v>276</v>
      </c>
      <c r="B63" s="8" t="s">
        <v>25</v>
      </c>
      <c r="C63" s="8" t="s">
        <v>53</v>
      </c>
      <c r="D63" s="10">
        <v>13000.0</v>
      </c>
      <c r="E63" s="8" t="s">
        <v>370</v>
      </c>
      <c r="F63" s="8" t="s">
        <v>371</v>
      </c>
    </row>
    <row r="64">
      <c r="A64" s="8" t="s">
        <v>278</v>
      </c>
      <c r="B64" s="8" t="s">
        <v>25</v>
      </c>
      <c r="C64" s="8" t="s">
        <v>53</v>
      </c>
      <c r="D64" s="10">
        <v>10000.0</v>
      </c>
      <c r="E64" s="8" t="s">
        <v>370</v>
      </c>
      <c r="F64" s="8" t="s">
        <v>371</v>
      </c>
    </row>
    <row r="65">
      <c r="A65" s="8" t="s">
        <v>280</v>
      </c>
      <c r="B65" s="8" t="s">
        <v>25</v>
      </c>
      <c r="C65" s="8" t="s">
        <v>53</v>
      </c>
      <c r="D65" s="10">
        <v>10000.0</v>
      </c>
      <c r="E65" s="8" t="s">
        <v>370</v>
      </c>
      <c r="F65" s="8" t="s">
        <v>371</v>
      </c>
    </row>
    <row r="66">
      <c r="A66" s="8" t="s">
        <v>167</v>
      </c>
      <c r="B66" s="8" t="s">
        <v>25</v>
      </c>
      <c r="C66" s="8" t="s">
        <v>53</v>
      </c>
      <c r="D66" s="10">
        <v>12940.8</v>
      </c>
      <c r="E66" s="8" t="s">
        <v>370</v>
      </c>
      <c r="F66" s="8" t="s">
        <v>371</v>
      </c>
    </row>
    <row r="67">
      <c r="A67" s="8" t="s">
        <v>169</v>
      </c>
      <c r="B67" s="8" t="s">
        <v>25</v>
      </c>
      <c r="C67" s="8" t="s">
        <v>53</v>
      </c>
      <c r="D67" s="10">
        <v>12940.8</v>
      </c>
      <c r="E67" s="8" t="s">
        <v>370</v>
      </c>
      <c r="F67" s="8" t="s">
        <v>371</v>
      </c>
    </row>
    <row r="68">
      <c r="A68" s="8" t="s">
        <v>171</v>
      </c>
      <c r="B68" s="8" t="s">
        <v>25</v>
      </c>
      <c r="C68" s="8" t="s">
        <v>53</v>
      </c>
      <c r="D68" s="10">
        <v>12940.8</v>
      </c>
      <c r="E68" s="8" t="s">
        <v>370</v>
      </c>
      <c r="F68" s="8" t="s">
        <v>371</v>
      </c>
    </row>
    <row r="69">
      <c r="A69" s="8" t="s">
        <v>174</v>
      </c>
      <c r="B69" s="8" t="s">
        <v>25</v>
      </c>
      <c r="C69" s="8" t="s">
        <v>53</v>
      </c>
      <c r="D69" s="10">
        <v>12940.8</v>
      </c>
      <c r="E69" s="8" t="s">
        <v>370</v>
      </c>
      <c r="F69" s="8" t="s">
        <v>371</v>
      </c>
    </row>
    <row r="70">
      <c r="A70" s="8" t="s">
        <v>177</v>
      </c>
      <c r="B70" s="8" t="s">
        <v>25</v>
      </c>
      <c r="C70" s="8" t="s">
        <v>53</v>
      </c>
      <c r="D70" s="10">
        <v>12940.8</v>
      </c>
      <c r="E70" s="8" t="s">
        <v>370</v>
      </c>
      <c r="F70" s="8" t="s">
        <v>371</v>
      </c>
    </row>
    <row r="71">
      <c r="A71" s="8" t="s">
        <v>179</v>
      </c>
      <c r="B71" s="8" t="s">
        <v>25</v>
      </c>
      <c r="C71" s="8" t="s">
        <v>53</v>
      </c>
      <c r="D71" s="10">
        <v>12940.8</v>
      </c>
      <c r="E71" s="8" t="s">
        <v>370</v>
      </c>
      <c r="F71" s="8" t="s">
        <v>371</v>
      </c>
    </row>
    <row r="72">
      <c r="A72" s="8" t="s">
        <v>181</v>
      </c>
      <c r="B72" s="8" t="s">
        <v>25</v>
      </c>
      <c r="C72" s="8" t="s">
        <v>53</v>
      </c>
      <c r="D72" s="10">
        <v>12940.8</v>
      </c>
      <c r="E72" s="8" t="s">
        <v>370</v>
      </c>
      <c r="F72" s="8" t="s">
        <v>371</v>
      </c>
    </row>
    <row r="73">
      <c r="A73" s="8" t="s">
        <v>187</v>
      </c>
      <c r="B73" s="8" t="s">
        <v>25</v>
      </c>
      <c r="C73" s="8" t="s">
        <v>372</v>
      </c>
      <c r="D73" s="10">
        <v>3000.0</v>
      </c>
      <c r="E73" s="8" t="s">
        <v>370</v>
      </c>
      <c r="F73" s="8" t="s">
        <v>371</v>
      </c>
    </row>
    <row r="74">
      <c r="A74" s="8" t="s">
        <v>191</v>
      </c>
      <c r="B74" s="8" t="s">
        <v>25</v>
      </c>
      <c r="C74" s="8" t="s">
        <v>373</v>
      </c>
      <c r="D74" s="10">
        <v>3000.0</v>
      </c>
      <c r="E74" s="8" t="s">
        <v>370</v>
      </c>
      <c r="F74" s="8" t="s">
        <v>371</v>
      </c>
    </row>
    <row r="75">
      <c r="A75" s="8" t="s">
        <v>193</v>
      </c>
      <c r="B75" s="8" t="s">
        <v>25</v>
      </c>
      <c r="C75" s="8" t="s">
        <v>53</v>
      </c>
      <c r="D75" s="10">
        <v>21000.0</v>
      </c>
      <c r="E75" s="8" t="s">
        <v>370</v>
      </c>
      <c r="F75" s="8" t="s">
        <v>371</v>
      </c>
    </row>
    <row r="76">
      <c r="A76" s="8" t="s">
        <v>195</v>
      </c>
      <c r="B76" s="8" t="s">
        <v>25</v>
      </c>
      <c r="C76" s="8" t="s">
        <v>53</v>
      </c>
      <c r="D76" s="10">
        <v>3500.0</v>
      </c>
      <c r="E76" s="8" t="s">
        <v>370</v>
      </c>
      <c r="F76" s="8" t="s">
        <v>371</v>
      </c>
    </row>
    <row r="77">
      <c r="A77" s="8" t="s">
        <v>200</v>
      </c>
      <c r="B77" s="8" t="s">
        <v>25</v>
      </c>
      <c r="C77" s="8" t="s">
        <v>374</v>
      </c>
      <c r="D77" s="10">
        <v>4000.0</v>
      </c>
      <c r="E77" s="8" t="s">
        <v>370</v>
      </c>
      <c r="F77" s="8" t="s">
        <v>371</v>
      </c>
    </row>
    <row r="78">
      <c r="A78" s="8" t="s">
        <v>297</v>
      </c>
      <c r="B78" s="8" t="s">
        <v>25</v>
      </c>
      <c r="C78" s="8" t="s">
        <v>53</v>
      </c>
      <c r="D78" s="10">
        <v>10000.0</v>
      </c>
      <c r="E78" s="8" t="s">
        <v>370</v>
      </c>
      <c r="F78" s="8" t="s">
        <v>371</v>
      </c>
    </row>
    <row r="79">
      <c r="A79" s="8" t="s">
        <v>299</v>
      </c>
      <c r="B79" s="8" t="s">
        <v>25</v>
      </c>
      <c r="C79" s="8" t="s">
        <v>53</v>
      </c>
      <c r="D79" s="10">
        <v>10000.0</v>
      </c>
      <c r="E79" s="8" t="s">
        <v>370</v>
      </c>
      <c r="F79" s="8" t="s">
        <v>371</v>
      </c>
    </row>
    <row r="80">
      <c r="A80" s="8" t="s">
        <v>301</v>
      </c>
      <c r="B80" s="8" t="s">
        <v>25</v>
      </c>
      <c r="C80" s="8" t="s">
        <v>53</v>
      </c>
      <c r="D80" s="10">
        <v>10000.0</v>
      </c>
      <c r="E80" s="8" t="s">
        <v>370</v>
      </c>
      <c r="F80" s="8" t="s">
        <v>371</v>
      </c>
    </row>
    <row r="81">
      <c r="A81" s="8" t="s">
        <v>303</v>
      </c>
      <c r="B81" s="8" t="s">
        <v>25</v>
      </c>
      <c r="C81" s="8" t="s">
        <v>53</v>
      </c>
      <c r="D81" s="10">
        <v>10000.0</v>
      </c>
      <c r="E81" s="8" t="s">
        <v>370</v>
      </c>
      <c r="F81" s="8" t="s">
        <v>371</v>
      </c>
    </row>
    <row r="82">
      <c r="A82" s="8" t="s">
        <v>305</v>
      </c>
      <c r="B82" s="8" t="s">
        <v>25</v>
      </c>
      <c r="C82" s="8" t="s">
        <v>53</v>
      </c>
      <c r="D82" s="10">
        <v>17000.0</v>
      </c>
      <c r="E82" s="8" t="s">
        <v>370</v>
      </c>
      <c r="F82" s="8" t="s">
        <v>371</v>
      </c>
    </row>
    <row r="83">
      <c r="A83" s="8" t="s">
        <v>307</v>
      </c>
      <c r="B83" s="8" t="s">
        <v>25</v>
      </c>
      <c r="C83" s="8" t="s">
        <v>53</v>
      </c>
      <c r="D83" s="10">
        <v>10000.0</v>
      </c>
      <c r="E83" s="8" t="s">
        <v>370</v>
      </c>
      <c r="F83" s="8" t="s">
        <v>371</v>
      </c>
    </row>
    <row r="84">
      <c r="A84" s="8" t="s">
        <v>312</v>
      </c>
      <c r="B84" s="8" t="s">
        <v>25</v>
      </c>
      <c r="C84" s="8" t="s">
        <v>53</v>
      </c>
      <c r="D84" s="10">
        <v>6500.0</v>
      </c>
      <c r="E84" s="8" t="s">
        <v>370</v>
      </c>
      <c r="F84" s="8" t="s">
        <v>371</v>
      </c>
    </row>
    <row r="85">
      <c r="A85" s="8" t="s">
        <v>205</v>
      </c>
      <c r="B85" s="8" t="s">
        <v>25</v>
      </c>
      <c r="C85" s="8" t="s">
        <v>53</v>
      </c>
      <c r="D85" s="10">
        <v>10000.0</v>
      </c>
      <c r="E85" s="8" t="s">
        <v>370</v>
      </c>
      <c r="F85" s="8" t="s">
        <v>371</v>
      </c>
    </row>
    <row r="86">
      <c r="A86" s="8" t="s">
        <v>315</v>
      </c>
      <c r="B86" s="8" t="s">
        <v>25</v>
      </c>
      <c r="C86" s="8" t="s">
        <v>53</v>
      </c>
      <c r="D86" s="10">
        <v>10000.0</v>
      </c>
      <c r="E86" s="8" t="s">
        <v>370</v>
      </c>
      <c r="F86" s="8" t="s">
        <v>371</v>
      </c>
    </row>
    <row r="87">
      <c r="A87" s="8" t="s">
        <v>317</v>
      </c>
      <c r="B87" s="8" t="s">
        <v>25</v>
      </c>
      <c r="C87" s="8" t="s">
        <v>53</v>
      </c>
      <c r="D87" s="10">
        <v>10000.0</v>
      </c>
      <c r="E87" s="8" t="s">
        <v>370</v>
      </c>
      <c r="F87" s="8" t="s">
        <v>371</v>
      </c>
    </row>
    <row r="88">
      <c r="A88" s="8" t="s">
        <v>319</v>
      </c>
      <c r="B88" s="8" t="s">
        <v>25</v>
      </c>
      <c r="C88" s="8" t="s">
        <v>53</v>
      </c>
      <c r="D88" s="10">
        <v>10000.0</v>
      </c>
      <c r="E88" s="8" t="s">
        <v>370</v>
      </c>
      <c r="F88" s="8" t="s">
        <v>371</v>
      </c>
    </row>
    <row r="89">
      <c r="A89" s="8" t="s">
        <v>322</v>
      </c>
      <c r="B89" s="8" t="s">
        <v>25</v>
      </c>
      <c r="C89" s="8" t="s">
        <v>53</v>
      </c>
      <c r="D89" s="10">
        <v>17000.0</v>
      </c>
      <c r="E89" s="8" t="s">
        <v>370</v>
      </c>
      <c r="F89" s="8" t="s">
        <v>371</v>
      </c>
    </row>
    <row r="90">
      <c r="A90" s="8" t="s">
        <v>325</v>
      </c>
      <c r="B90" s="8" t="s">
        <v>25</v>
      </c>
      <c r="C90" s="8" t="s">
        <v>53</v>
      </c>
      <c r="D90" s="10">
        <v>10000.0</v>
      </c>
      <c r="E90" s="8" t="s">
        <v>370</v>
      </c>
      <c r="F90" s="8" t="s">
        <v>371</v>
      </c>
    </row>
    <row r="91">
      <c r="A91" s="8" t="s">
        <v>327</v>
      </c>
      <c r="B91" s="8" t="s">
        <v>25</v>
      </c>
      <c r="C91" s="8" t="s">
        <v>53</v>
      </c>
      <c r="D91" s="10">
        <v>6500.0</v>
      </c>
      <c r="E91" s="8" t="s">
        <v>370</v>
      </c>
      <c r="F91" s="8" t="s">
        <v>371</v>
      </c>
    </row>
  </sheetData>
  <drawing r:id="rId1"/>
</worksheet>
</file>